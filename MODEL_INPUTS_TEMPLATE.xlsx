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urrency" sheetId="2" state="visible" r:id="rId4"/>
    <sheet name="Balance Sheet" sheetId="3" state="visible" r:id="rId5"/>
    <sheet name="Portfolio" sheetId="4" state="visible" r:id="rId6"/>
    <sheet name="Assumptions" sheetId="5" state="visible" r:id="rId7"/>
    <sheet name="Run Set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<sst xmlns="http://schemas.openxmlformats.org/spreadsheetml/2006/main" count="183" uniqueCount="154">
  <si>
    <t xml:space="preserve">Actuarial Stochastic Capital Model — User Input Template</t>
  </si>
  <si>
    <t xml:space="preserve">Fill the blue/yellow cells on each tab, save, then run the model (see the User Manual).</t>
  </si>
  <si>
    <t xml:space="preserve">Colour legend</t>
  </si>
  <si>
    <t xml:space="preserve">Blue text</t>
  </si>
  <si>
    <t xml:space="preserve">A value YOU enter (an input).</t>
  </si>
  <si>
    <t xml:space="preserve">Yellow cell</t>
  </si>
  <si>
    <t xml:space="preserve">A key input that must be set before running.</t>
  </si>
  <si>
    <t xml:space="preserve">Grey / italic</t>
  </si>
  <si>
    <t xml:space="preserve">Governed / model-calibrated — shown for reference; do NOT change without re-validation.</t>
  </si>
  <si>
    <t xml:space="preserve">Tabs in this workbook</t>
  </si>
  <si>
    <t xml:space="preserve">1. Currency</t>
  </si>
  <si>
    <t xml:space="preserve">Reporting currency code/symbol/scale and the calibration-market label. Replaces the hardcoded 'CNY'.</t>
  </si>
  <si>
    <t xml:space="preserve">2. Balance Sheet</t>
  </si>
  <si>
    <t xml:space="preserve">Backing asset market value(s), illiquid share, forced-sale fraction, liability value.</t>
  </si>
  <si>
    <t xml:space="preserve">3. Portfolio</t>
  </si>
  <si>
    <t xml:space="preserve">Your in-force book as grouped model-point rows (product, age, term, sum assured, premium, count).</t>
  </si>
  <si>
    <t xml:space="preserve">4. Assumptions</t>
  </si>
  <si>
    <t xml:space="preserve">Confidence level and management-action relief scalars. Frozen copula parameters shown read-only.</t>
  </si>
  <si>
    <t xml:space="preserve">5. Run Settings</t>
  </si>
  <si>
    <t xml:space="preserve">Simulation count, seed, bootstrap replicates, valuation date, output label.</t>
  </si>
  <si>
    <t xml:space="preserve">How this is used</t>
  </si>
  <si>
    <t xml:space="preserve">Step 1</t>
  </si>
  <si>
    <t xml:space="preserve">Complete the tabs. Keep the column layout — the loader reads by tab + header name.</t>
  </si>
  <si>
    <t xml:space="preserve">Step 2</t>
  </si>
  <si>
    <t xml:space="preserve">Run the input loader + orchestrator (see User Manual §4) to produce model_inputs.json and the results JSONs.</t>
  </si>
  <si>
    <t xml:space="preserve">Step 3</t>
  </si>
  <si>
    <t xml:space="preserve">Run scripts/build_ui_data.py to bundle results into ui_data.json + ui_app.html, then open ui_app.html.</t>
  </si>
  <si>
    <t xml:space="preserve">Important</t>
  </si>
  <si>
    <t xml:space="preserve">Educational model</t>
  </si>
  <si>
    <t xml:space="preserve">Outputs are educational. Production capital use requires credentialled data + independent APS X2 review.</t>
  </si>
  <si>
    <t xml:space="preserve">Units</t>
  </si>
  <si>
    <t xml:space="preserve">Always check the 'Unit' column. Monetary values use the currency + scale you set on the Currency tab.</t>
  </si>
  <si>
    <t xml:space="preserve">Currency &amp; Reporting Unit</t>
  </si>
  <si>
    <t xml:space="preserve">Field</t>
  </si>
  <si>
    <t xml:space="preserve">Value</t>
  </si>
  <si>
    <t xml:space="preserve">Unit / format</t>
  </si>
  <si>
    <t xml:space="preserve">Notes</t>
  </si>
  <si>
    <t xml:space="preserve">Reporting currency code</t>
  </si>
  <si>
    <t xml:space="preserve">USD</t>
  </si>
  <si>
    <t xml:space="preserve">ISO 4217</t>
  </si>
  <si>
    <t xml:space="preserve">3-letter code shown on all monetary outputs (e.g. USD, EUR, GBP, HKD, SGD, JPY).</t>
  </si>
  <si>
    <t xml:space="preserve">Reporting currency symbol</t>
  </si>
  <si>
    <t xml:space="preserve">$</t>
  </si>
  <si>
    <t xml:space="preserve">text</t>
  </si>
  <si>
    <t xml:space="preserve">Symbol used in the GUI next to amounts (e.g. $, €, £, HK$, ¥).</t>
  </si>
  <si>
    <t xml:space="preserve">Decimal places</t>
  </si>
  <si>
    <t xml:space="preserve">integer</t>
  </si>
  <si>
    <t xml:space="preserve">Decimals shown for currency amounts (0 for whole units).</t>
  </si>
  <si>
    <t xml:space="preserve">Amount scale</t>
  </si>
  <si>
    <t xml:space="preserve">units</t>
  </si>
  <si>
    <t xml:space="preserve">dropdown</t>
  </si>
  <si>
    <t xml:space="preserve">Are the monetary inputs in this workbook in units, thousands, or millions?</t>
  </si>
  <si>
    <t xml:space="preserve">Thousands separator</t>
  </si>
  <si>
    <t xml:space="preserve">comma</t>
  </si>
  <si>
    <t xml:space="preserve">Display grouping for large numbers.</t>
  </si>
  <si>
    <t xml:space="preserve">Calibration market label</t>
  </si>
  <si>
    <t xml:space="preserve">Local market</t>
  </si>
  <si>
    <t xml:space="preserve">Replaces the hardcoded 'CNY' provenance label. Describes the market the drivers are calibrated to.</t>
  </si>
  <si>
    <t xml:space="preserve">Valuation date</t>
  </si>
  <si>
    <t xml:space="preserve">2026-01-01</t>
  </si>
  <si>
    <t xml:space="preserve">YYYY-MM-DD</t>
  </si>
  <si>
    <t xml:space="preserve">As-of date for the run; flows to output metadata.</t>
  </si>
  <si>
    <t xml:space="preserve">Note: changing the reporting currency relabels outputs. A genuinely different calibration market (different yield curve, equity index, credit spreads) requires supplying that market's data — see the Implementation Plan, 'Full re-currency'.</t>
  </si>
  <si>
    <t xml:space="preserve">Balance-Sheet Inputs</t>
  </si>
  <si>
    <t xml:space="preserve">Monetary values are in the currency + scale set on the Currency tab.</t>
  </si>
  <si>
    <t xml:space="preserve">Asset portfolio (by class)</t>
  </si>
  <si>
    <t xml:space="preserve">Asset class</t>
  </si>
  <si>
    <t xml:space="preserve">Market value</t>
  </si>
  <si>
    <t xml:space="preserve">Illiquid?</t>
  </si>
  <si>
    <t xml:space="preserve">Government / sovereign bonds</t>
  </si>
  <si>
    <t xml:space="preserve">No</t>
  </si>
  <si>
    <t xml:space="preserve">Liquid; not subject to forced-sale haircut.</t>
  </si>
  <si>
    <t xml:space="preserve">Corporate / credit bonds</t>
  </si>
  <si>
    <t xml:space="preserve">Yes</t>
  </si>
  <si>
    <t xml:space="preserve">Illiquid allocation; subject to mass-lapse forced sale.</t>
  </si>
  <si>
    <t xml:space="preserve">Listed equity</t>
  </si>
  <si>
    <t xml:space="preserve">Liquid.</t>
  </si>
  <si>
    <t xml:space="preserve">Illiquid / private assets</t>
  </si>
  <si>
    <t xml:space="preserve">Illiquid.</t>
  </si>
  <si>
    <t xml:space="preserve">Cash &amp; equivalents</t>
  </si>
  <si>
    <t xml:space="preserve">Total backing asset market value</t>
  </si>
  <si>
    <t xml:space="preserve">Illiquid market value (derived)</t>
  </si>
  <si>
    <t xml:space="preserve">Illiquid share (derived)</t>
  </si>
  <si>
    <t xml:space="preserve">Other balance-sheet inputs</t>
  </si>
  <si>
    <t xml:space="preserve">Unit</t>
  </si>
  <si>
    <t xml:space="preserve">Forced-sale fraction (mass-lapse shock)</t>
  </si>
  <si>
    <t xml:space="preserve">fraction 0-1</t>
  </si>
  <si>
    <t xml:space="preserve">Solvency II Art. 142 mass-lapse analogue. exposure_notional = illiquid MV × this.</t>
  </si>
  <si>
    <t xml:space="preserve">Best-estimate liability (reserve)</t>
  </si>
  <si>
    <t xml:space="preserve">currency</t>
  </si>
  <si>
    <t xml:space="preserve">Total BEL / reserve backing the in-force book.</t>
  </si>
  <si>
    <t xml:space="preserve">Equity-guarantee initial index level</t>
  </si>
  <si>
    <t xml:space="preserve">index</t>
  </si>
  <si>
    <t xml:space="preserve">GMMB guarantee reference index at issue.</t>
  </si>
  <si>
    <t xml:space="preserve">In-Force Portfolio (grouped model points)</t>
  </si>
  <si>
    <t xml:space="preserve">Each row is a group of like policies. Replaces the synthetic 100k-policy generator. Add as many rows as you need below the examples; keep the headers.</t>
  </si>
  <si>
    <t xml:space="preserve">Product type</t>
  </si>
  <si>
    <t xml:space="preserve">Issue age</t>
  </si>
  <si>
    <t xml:space="preserve">Gender</t>
  </si>
  <si>
    <t xml:space="preserve">Term (yrs)</t>
  </si>
  <si>
    <t xml:space="preserve">Sum assured</t>
  </si>
  <si>
    <t xml:space="preserve">Annual premium</t>
  </si>
  <si>
    <t xml:space="preserve">Policy count</t>
  </si>
  <si>
    <t xml:space="preserve">Vested bonus</t>
  </si>
  <si>
    <t xml:space="preserve">HKCD_PAR_2026</t>
  </si>
  <si>
    <t xml:space="preserve">M</t>
  </si>
  <si>
    <t xml:space="preserve">HKRB_PAR_2026</t>
  </si>
  <si>
    <t xml:space="preserve">F</t>
  </si>
  <si>
    <t xml:space="preserve">GMMB_EQ_2026</t>
  </si>
  <si>
    <t xml:space="preserve">Totals:</t>
  </si>
  <si>
    <t xml:space="preserve">Product types: HKCD = cash dividend PAR, HKRB = reversionary bonus PAR, GMMB = equity guarantee.</t>
  </si>
  <si>
    <t xml:space="preserve">Assumption Overrides</t>
  </si>
  <si>
    <t xml:space="preserve">User-adjustable</t>
  </si>
  <si>
    <t xml:space="preserve">Confidence level (SCR)</t>
  </si>
  <si>
    <t xml:space="preserve">fraction</t>
  </si>
  <si>
    <t xml:space="preserve">Capital confidence level. 99.5% = Solvency II 1-in-200.</t>
  </si>
  <si>
    <t xml:space="preserve">Management-action relief: sigma</t>
  </si>
  <si>
    <t xml:space="preserve">decimal</t>
  </si>
  <si>
    <t xml:space="preserve">Bonus-smoothing relief scalar. Governed default shown; override only with justification.</t>
  </si>
  <si>
    <t xml:space="preserve">Management-action relief: alpha</t>
  </si>
  <si>
    <t xml:space="preserve">Action-responsiveness scalar (governed default).</t>
  </si>
  <si>
    <t xml:space="preserve">Benefit share (beta_fit)</t>
  </si>
  <si>
    <t xml:space="preserve">Policyholder benefit share (governed default).</t>
  </si>
  <si>
    <t xml:space="preserve">Governed / frozen — read-only (do NOT edit without re-validation)</t>
  </si>
  <si>
    <t xml:space="preserve">Parameter</t>
  </si>
  <si>
    <t xml:space="preserve">Copula degrees of freedom (single-df t)</t>
  </si>
  <si>
    <t xml:space="preserve">df</t>
  </si>
  <si>
    <t xml:space="preserve">Rank-invariance freeze (SII Art. 234).</t>
  </si>
  <si>
    <t xml:space="preserve">Grouped-t df — NON-FIN block</t>
  </si>
  <si>
    <t xml:space="preserve">Phase 28 fitted; frozen.</t>
  </si>
  <si>
    <t xml:space="preserve">Grouped-t df — FIN block</t>
  </si>
  <si>
    <t xml:space="preserve">Drivers</t>
  </si>
  <si>
    <t xml:space="preserve">rate, equity, credit, lapse, mortality, fx, liquidity</t>
  </si>
  <si>
    <t xml:space="preserve">7 drivers</t>
  </si>
  <si>
    <t xml:space="preserve">Correlation Sigma frozen.</t>
  </si>
  <si>
    <t xml:space="preserve">Governed headline copula</t>
  </si>
  <si>
    <t xml:space="preserve">single-df t (conservative boundary)</t>
  </si>
  <si>
    <t xml:space="preserve">—</t>
  </si>
  <si>
    <t xml:space="preserve">Grouped-t is disclosed, not adopted.</t>
  </si>
  <si>
    <t xml:space="preserve">Run Settings</t>
  </si>
  <si>
    <t xml:space="preserve">Number of simulations (outer)</t>
  </si>
  <si>
    <t xml:space="preserve">paths</t>
  </si>
  <si>
    <t xml:space="preserve">Monte-Carlo outer paths. 20,000 is the standard run; 200,000 for the canonical reference.</t>
  </si>
  <si>
    <t xml:space="preserve">Random seed</t>
  </si>
  <si>
    <t xml:space="preserve">Fixes reproducibility. Keep constant to reproduce a run.</t>
  </si>
  <si>
    <t xml:space="preserve">Bootstrap replicates</t>
  </si>
  <si>
    <t xml:space="preserve">count</t>
  </si>
  <si>
    <t xml:space="preserve">Replicates for the SCR confidence interval.</t>
  </si>
  <si>
    <t xml:space="preserve">Projection horizon</t>
  </si>
  <si>
    <t xml:space="preserve">months</t>
  </si>
  <si>
    <t xml:space="preserve">Capital projection horizon.</t>
  </si>
  <si>
    <t xml:space="preserve">Output label / scenario name</t>
  </si>
  <si>
    <t xml:space="preserve">MyRun_2026Q1</t>
  </si>
  <si>
    <t xml:space="preserve">Tag written into outputs and shown in the GUI.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</si>
</sst>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  <c r="D4" s="3"/>
    </row>
    <row r="5" customFormat="false" ht="15" hidden="false" customHeight="false" outlineLevel="0" collapsed="false">
      <c r="B5" s="4" t="s">
        <v>2</v>
      </c>
      <c r="C5" s="5"/>
      <c r="D5" s="5"/>
    </row>
    <row r="6" customFormat="false" ht="23.85" hidden="false" customHeight="false" outlineLevel="0" collapsed="false">
      <c r="B6" s="6" t="s">
        <v>3</v>
      </c>
      <c r="C6" s="3" t="s">
        <v>4</v>
      </c>
    </row>
    <row r="7" customFormat="false" ht="23.85" hidden="false" customHeight="false" outlineLevel="0" collapsed="false">
      <c r="B7" s="7" t="s">
        <v>5</v>
      </c>
      <c r="C7" s="3" t="s">
        <v>6</v>
      </c>
    </row>
    <row r="8" customFormat="false" ht="46.25" hidden="false" customHeight="false" outlineLevel="0" collapsed="false">
      <c r="B8" s="8" t="s">
        <v>7</v>
      </c>
      <c r="C8" s="3" t="s">
        <v>8</v>
      </c>
    </row>
    <row r="9" customFormat="false" ht="15" hidden="false" customHeight="false" outlineLevel="0" collapsed="false">
      <c r="B9" s="2"/>
      <c r="D9" s="3"/>
    </row>
    <row r="10" customFormat="false" ht="15" hidden="false" customHeight="false" outlineLevel="0" collapsed="false">
      <c r="B10" s="4" t="s">
        <v>9</v>
      </c>
      <c r="C10" s="5"/>
      <c r="D10" s="5"/>
    </row>
    <row r="11" customFormat="false" ht="57.45" hidden="false" customHeight="false" outlineLevel="0" collapsed="false">
      <c r="B11" s="9" t="s">
        <v>10</v>
      </c>
      <c r="C11" s="3" t="s">
        <v>11</v>
      </c>
    </row>
    <row r="12" customFormat="false" ht="46.25" hidden="false" customHeight="false" outlineLevel="0" collapsed="false">
      <c r="B12" s="9" t="s">
        <v>12</v>
      </c>
      <c r="C12" s="3" t="s">
        <v>13</v>
      </c>
    </row>
    <row r="13" customFormat="false" ht="46.25" hidden="false" customHeight="false" outlineLevel="0" collapsed="false">
      <c r="B13" s="9" t="s">
        <v>14</v>
      </c>
      <c r="C13" s="3" t="s">
        <v>15</v>
      </c>
    </row>
    <row r="14" customFormat="false" ht="57.45" hidden="false" customHeight="false" outlineLevel="0" collapsed="false">
      <c r="B14" s="9" t="s">
        <v>16</v>
      </c>
      <c r="C14" s="3" t="s">
        <v>17</v>
      </c>
    </row>
    <row r="15" customFormat="false" ht="46.25" hidden="false" customHeight="false" outlineLevel="0" collapsed="false">
      <c r="B15" s="9" t="s">
        <v>18</v>
      </c>
      <c r="C15" s="3" t="s">
        <v>19</v>
      </c>
    </row>
    <row r="16" customFormat="false" ht="15" hidden="false" customHeight="false" outlineLevel="0" collapsed="false">
      <c r="B16" s="2"/>
      <c r="D16" s="3"/>
    </row>
    <row r="17" customFormat="false" ht="15" hidden="false" customHeight="false" outlineLevel="0" collapsed="false">
      <c r="B17" s="4" t="s">
        <v>20</v>
      </c>
      <c r="C17" s="5"/>
      <c r="D17" s="5"/>
    </row>
    <row r="18" customFormat="false" ht="46.25" hidden="false" customHeight="false" outlineLevel="0" collapsed="false">
      <c r="B18" s="9" t="s">
        <v>21</v>
      </c>
      <c r="C18" s="3" t="s">
        <v>22</v>
      </c>
    </row>
    <row r="19" customFormat="false" ht="57.45" hidden="false" customHeight="false" outlineLevel="0" collapsed="false">
      <c r="B19" s="9" t="s">
        <v>23</v>
      </c>
      <c r="C19" s="3" t="s">
        <v>24</v>
      </c>
    </row>
    <row r="20" customFormat="false" ht="68.65" hidden="false" customHeight="false" outlineLevel="0" collapsed="false">
      <c r="B20" s="9" t="s">
        <v>25</v>
      </c>
      <c r="C20" s="3" t="s">
        <v>26</v>
      </c>
    </row>
    <row r="21" customFormat="false" ht="15" hidden="false" customHeight="false" outlineLevel="0" collapsed="false">
      <c r="B21" s="2"/>
      <c r="D21" s="3"/>
    </row>
    <row r="22" customFormat="false" ht="15" hidden="false" customHeight="false" outlineLevel="0" collapsed="false">
      <c r="B22" s="4" t="s">
        <v>27</v>
      </c>
      <c r="C22" s="5"/>
      <c r="D22" s="5"/>
    </row>
    <row r="23" customFormat="false" ht="57.45" hidden="false" customHeight="false" outlineLevel="0" collapsed="false">
      <c r="B23" s="9" t="s">
        <v>28</v>
      </c>
      <c r="C23" s="3" t="s">
        <v>29</v>
      </c>
    </row>
    <row r="24" customFormat="false" ht="57.45" hidden="false" customHeight="false" outlineLevel="0" collapsed="false">
      <c r="B24" s="9" t="s">
        <v>30</v>
      </c>
      <c r="C24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0" t="s">
        <v>32</v>
      </c>
      <c r="B1" s="10"/>
      <c r="C1" s="10"/>
      <c r="D1" s="10"/>
    </row>
    <row r="3" customFormat="false" ht="15" hidden="false" customHeight="false" outlineLevel="0" collapsed="false">
      <c r="A3" s="11" t="s">
        <v>33</v>
      </c>
      <c r="B3" s="11" t="s">
        <v>34</v>
      </c>
      <c r="C3" s="11" t="s">
        <v>35</v>
      </c>
      <c r="D3" s="11" t="s">
        <v>36</v>
      </c>
    </row>
    <row r="4" customFormat="false" ht="22.35" hidden="false" customHeight="false" outlineLevel="0" collapsed="false">
      <c r="A4" s="12" t="s">
        <v>37</v>
      </c>
      <c r="B4" s="13" t="s">
        <v>38</v>
      </c>
      <c r="C4" s="14" t="s">
        <v>39</v>
      </c>
      <c r="D4" s="15" t="s">
        <v>40</v>
      </c>
    </row>
    <row r="5" customFormat="false" ht="15" hidden="false" customHeight="false" outlineLevel="0" collapsed="false">
      <c r="A5" s="12" t="s">
        <v>41</v>
      </c>
      <c r="B5" s="13" t="s">
        <v>42</v>
      </c>
      <c r="C5" s="14" t="s">
        <v>43</v>
      </c>
      <c r="D5" s="15" t="s">
        <v>44</v>
      </c>
    </row>
    <row r="6" customFormat="false" ht="15" hidden="false" customHeight="false" outlineLevel="0" collapsed="false">
      <c r="A6" s="12" t="s">
        <v>45</v>
      </c>
      <c r="B6" s="13" t="n">
        <v>0</v>
      </c>
      <c r="C6" s="14" t="s">
        <v>46</v>
      </c>
      <c r="D6" s="15" t="s">
        <v>47</v>
      </c>
    </row>
    <row r="7" customFormat="false" ht="15" hidden="false" customHeight="false" outlineLevel="0" collapsed="false">
      <c r="A7" s="12" t="s">
        <v>48</v>
      </c>
      <c r="B7" s="13" t="s">
        <v>49</v>
      </c>
      <c r="C7" s="14" t="s">
        <v>50</v>
      </c>
      <c r="D7" s="15" t="s">
        <v>51</v>
      </c>
    </row>
    <row r="8" customFormat="false" ht="15" hidden="false" customHeight="false" outlineLevel="0" collapsed="false">
      <c r="A8" s="12" t="s">
        <v>52</v>
      </c>
      <c r="B8" s="13" t="s">
        <v>53</v>
      </c>
      <c r="C8" s="14" t="s">
        <v>50</v>
      </c>
      <c r="D8" s="15" t="s">
        <v>54</v>
      </c>
    </row>
    <row r="9" customFormat="false" ht="22.35" hidden="false" customHeight="false" outlineLevel="0" collapsed="false">
      <c r="A9" s="12" t="s">
        <v>55</v>
      </c>
      <c r="B9" s="13" t="s">
        <v>56</v>
      </c>
      <c r="C9" s="14" t="s">
        <v>43</v>
      </c>
      <c r="D9" s="15" t="s">
        <v>57</v>
      </c>
    </row>
    <row r="10" customFormat="false" ht="15" hidden="false" customHeight="false" outlineLevel="0" collapsed="false">
      <c r="A10" s="12" t="s">
        <v>58</v>
      </c>
      <c r="B10" s="13" t="s">
        <v>59</v>
      </c>
      <c r="C10" s="14" t="s">
        <v>60</v>
      </c>
      <c r="D10" s="15" t="s">
        <v>61</v>
      </c>
    </row>
    <row r="12" customFormat="false" ht="15" hidden="false" customHeight="true" outlineLevel="0" collapsed="false">
      <c r="A12" s="16" t="s">
        <v>62</v>
      </c>
      <c r="B12" s="16"/>
      <c r="C12" s="16"/>
      <c r="D12" s="16"/>
    </row>
    <row r="13" customFormat="false" ht="15" hidden="false" customHeight="false" outlineLevel="0" collapsed="false">
      <c r="A13" s="16"/>
      <c r="B13" s="16"/>
      <c r="C13" s="16"/>
      <c r="D13" s="16"/>
    </row>
  </sheetData>
  <mergeCells count="2">
    <mergeCell ref="A1:D1"/>
    <mergeCell ref="A12:D13"/>
  </mergeCells>
  <dataValidations count="2">
    <dataValidation allowBlank="false" errorStyle="stop" operator="between" showDropDown="false" showErrorMessage="false" showInputMessage="false" sqref="B7" type="list">
      <formula1>"units,thousands,millions"</formula1>
      <formula2>0</formula2>
    </dataValidation>
    <dataValidation allowBlank="false" errorStyle="stop" operator="between" showDropDown="false" showErrorMessage="false" showInputMessage="false" sqref="B8" type="list">
      <formula1>"comma,space,none"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0" t="s">
        <v>63</v>
      </c>
      <c r="B1" s="10"/>
      <c r="C1" s="10"/>
      <c r="D1" s="10"/>
    </row>
    <row r="2" customFormat="false" ht="15" hidden="false" customHeight="false" outlineLevel="0" collapsed="false">
      <c r="A2" s="17" t="s">
        <v>64</v>
      </c>
      <c r="B2" s="17"/>
      <c r="C2" s="17"/>
      <c r="D2" s="17"/>
    </row>
    <row r="4" customFormat="false" ht="15" hidden="false" customHeight="false" outlineLevel="0" collapsed="false">
      <c r="A4" s="4" t="s">
        <v>65</v>
      </c>
      <c r="B4" s="5"/>
      <c r="C4" s="5"/>
      <c r="D4" s="5"/>
    </row>
    <row r="5" customFormat="false" ht="15" hidden="false" customHeight="false" outlineLevel="0" collapsed="false">
      <c r="A5" s="11" t="s">
        <v>66</v>
      </c>
      <c r="B5" s="11" t="s">
        <v>67</v>
      </c>
      <c r="C5" s="11" t="s">
        <v>68</v>
      </c>
      <c r="D5" s="11" t="s">
        <v>36</v>
      </c>
    </row>
    <row r="6" customFormat="false" ht="15" hidden="false" customHeight="false" outlineLevel="0" collapsed="false">
      <c r="A6" s="14" t="s">
        <v>69</v>
      </c>
      <c r="B6" s="18" t="n">
        <v>30000</v>
      </c>
      <c r="C6" s="19" t="s">
        <v>70</v>
      </c>
      <c r="D6" s="15" t="s">
        <v>71</v>
      </c>
    </row>
    <row r="7" customFormat="false" ht="15" hidden="false" customHeight="false" outlineLevel="0" collapsed="false">
      <c r="A7" s="14" t="s">
        <v>72</v>
      </c>
      <c r="B7" s="18" t="n">
        <v>40000</v>
      </c>
      <c r="C7" s="19" t="s">
        <v>73</v>
      </c>
      <c r="D7" s="15" t="s">
        <v>74</v>
      </c>
    </row>
    <row r="8" customFormat="false" ht="15" hidden="false" customHeight="false" outlineLevel="0" collapsed="false">
      <c r="A8" s="14" t="s">
        <v>75</v>
      </c>
      <c r="B8" s="18" t="n">
        <v>20000</v>
      </c>
      <c r="C8" s="19" t="s">
        <v>70</v>
      </c>
      <c r="D8" s="15" t="s">
        <v>76</v>
      </c>
    </row>
    <row r="9" customFormat="false" ht="15" hidden="false" customHeight="false" outlineLevel="0" collapsed="false">
      <c r="A9" s="14" t="s">
        <v>77</v>
      </c>
      <c r="B9" s="18" t="n">
        <v>5000</v>
      </c>
      <c r="C9" s="19" t="s">
        <v>73</v>
      </c>
      <c r="D9" s="15" t="s">
        <v>78</v>
      </c>
    </row>
    <row r="10" customFormat="false" ht="15" hidden="false" customHeight="false" outlineLevel="0" collapsed="false">
      <c r="A10" s="14" t="s">
        <v>79</v>
      </c>
      <c r="B10" s="18" t="n">
        <v>5000</v>
      </c>
      <c r="C10" s="19" t="s">
        <v>70</v>
      </c>
      <c r="D10" s="15" t="s">
        <v>76</v>
      </c>
    </row>
    <row r="11" customFormat="false" ht="15" hidden="false" customHeight="false" outlineLevel="0" collapsed="false">
      <c r="A11" s="20" t="s">
        <v>80</v>
      </c>
      <c r="B11" s="21" t="n">
        <f aca="false">SUM(B6:B10)</f>
        <v>100000</v>
      </c>
    </row>
    <row r="12" customFormat="false" ht="15" hidden="false" customHeight="false" outlineLevel="0" collapsed="false">
      <c r="A12" s="20" t="s">
        <v>81</v>
      </c>
      <c r="B12" s="21" t="n">
        <f aca="false">SUMIF(C6:C10,"Yes",B6:B10)</f>
        <v>45000</v>
      </c>
    </row>
    <row r="13" customFormat="false" ht="15" hidden="false" customHeight="false" outlineLevel="0" collapsed="false">
      <c r="A13" s="20" t="s">
        <v>82</v>
      </c>
      <c r="B13" s="22" t="n">
        <f aca="false">IF(B11=0,0,B12/B11)</f>
        <v>0.45</v>
      </c>
    </row>
    <row r="15" customFormat="false" ht="15" hidden="false" customHeight="false" outlineLevel="0" collapsed="false">
      <c r="A15" s="4" t="s">
        <v>83</v>
      </c>
      <c r="B15" s="5"/>
      <c r="C15" s="5"/>
      <c r="D15" s="5"/>
    </row>
    <row r="16" customFormat="false" ht="15" hidden="false" customHeight="false" outlineLevel="0" collapsed="false">
      <c r="A16" s="11" t="s">
        <v>33</v>
      </c>
      <c r="B16" s="11" t="s">
        <v>34</v>
      </c>
      <c r="C16" s="11" t="s">
        <v>84</v>
      </c>
      <c r="D16" s="11" t="s">
        <v>36</v>
      </c>
    </row>
    <row r="17" customFormat="false" ht="22.35" hidden="false" customHeight="false" outlineLevel="0" collapsed="false">
      <c r="A17" s="12" t="s">
        <v>85</v>
      </c>
      <c r="B17" s="23" t="n">
        <v>0.4</v>
      </c>
      <c r="C17" s="14" t="s">
        <v>86</v>
      </c>
      <c r="D17" s="15" t="s">
        <v>87</v>
      </c>
    </row>
    <row r="18" customFormat="false" ht="15" hidden="false" customHeight="false" outlineLevel="0" collapsed="false">
      <c r="A18" s="12" t="s">
        <v>88</v>
      </c>
      <c r="B18" s="24" t="n">
        <v>95000</v>
      </c>
      <c r="C18" s="14" t="s">
        <v>89</v>
      </c>
      <c r="D18" s="15" t="s">
        <v>90</v>
      </c>
    </row>
    <row r="19" customFormat="false" ht="15" hidden="false" customHeight="false" outlineLevel="0" collapsed="false">
      <c r="A19" s="12" t="s">
        <v>91</v>
      </c>
      <c r="B19" s="13" t="n">
        <v>100</v>
      </c>
      <c r="C19" s="14" t="s">
        <v>92</v>
      </c>
      <c r="D19" s="15" t="s">
        <v>93</v>
      </c>
    </row>
  </sheetData>
  <mergeCells count="2">
    <mergeCell ref="A1:D1"/>
    <mergeCell ref="A2:D2"/>
  </mergeCells>
  <dataValidations count="1">
    <dataValidation allowBlank="false" errorStyle="stop" operator="between" showDropDown="false" showErrorMessage="false" showInputMessage="false" sqref="C6: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0" t="s">
        <v>94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17" t="s">
        <v>95</v>
      </c>
      <c r="B2" s="17"/>
      <c r="C2" s="17"/>
      <c r="D2" s="17"/>
      <c r="E2" s="17"/>
      <c r="F2" s="17"/>
      <c r="G2" s="17"/>
      <c r="H2" s="17"/>
    </row>
    <row r="4" customFormat="false" ht="26.85" hidden="false" customHeight="false" outlineLevel="0" collapsed="false">
      <c r="A4" s="11" t="s">
        <v>96</v>
      </c>
      <c r="B4" s="11" t="s">
        <v>97</v>
      </c>
      <c r="C4" s="11" t="s">
        <v>98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</row>
    <row r="5" customFormat="false" ht="15" hidden="false" customHeight="false" outlineLevel="0" collapsed="false">
      <c r="A5" s="19" t="s">
        <v>104</v>
      </c>
      <c r="B5" s="19" t="n">
        <v>45</v>
      </c>
      <c r="C5" s="19" t="s">
        <v>105</v>
      </c>
      <c r="D5" s="19" t="n">
        <v>20</v>
      </c>
      <c r="E5" s="25" t="n">
        <v>100000</v>
      </c>
      <c r="F5" s="25" t="n">
        <v>5000</v>
      </c>
      <c r="G5" s="19" t="n">
        <v>1200</v>
      </c>
      <c r="H5" s="25" t="n">
        <v>0</v>
      </c>
    </row>
    <row r="6" customFormat="false" ht="15" hidden="false" customHeight="false" outlineLevel="0" collapsed="false">
      <c r="A6" s="19" t="s">
        <v>106</v>
      </c>
      <c r="B6" s="19" t="n">
        <v>50</v>
      </c>
      <c r="C6" s="19" t="s">
        <v>107</v>
      </c>
      <c r="D6" s="19" t="n">
        <v>25</v>
      </c>
      <c r="E6" s="25" t="n">
        <v>150000</v>
      </c>
      <c r="F6" s="25" t="n">
        <v>6500</v>
      </c>
      <c r="G6" s="19" t="n">
        <v>800</v>
      </c>
      <c r="H6" s="25" t="n">
        <v>12000</v>
      </c>
    </row>
    <row r="7" customFormat="false" ht="15" hidden="false" customHeight="false" outlineLevel="0" collapsed="false">
      <c r="A7" s="19" t="s">
        <v>108</v>
      </c>
      <c r="B7" s="19" t="n">
        <v>40</v>
      </c>
      <c r="C7" s="19" t="s">
        <v>105</v>
      </c>
      <c r="D7" s="19" t="n">
        <v>15</v>
      </c>
      <c r="E7" s="25" t="n">
        <v>100000</v>
      </c>
      <c r="F7" s="25" t="n">
        <v>0</v>
      </c>
      <c r="G7" s="19" t="n">
        <v>500</v>
      </c>
      <c r="H7" s="25" t="n">
        <v>0</v>
      </c>
    </row>
    <row r="8" customFormat="false" ht="15" hidden="false" customHeight="false" outlineLevel="0" collapsed="false">
      <c r="A8" s="26"/>
      <c r="B8" s="26"/>
      <c r="C8" s="26"/>
      <c r="D8" s="26"/>
      <c r="E8" s="26"/>
      <c r="F8" s="26"/>
      <c r="G8" s="26"/>
      <c r="H8" s="26"/>
    </row>
    <row r="9" customFormat="false" ht="15" hidden="false" customHeight="false" outlineLevel="0" collapsed="false">
      <c r="A9" s="26"/>
      <c r="B9" s="26"/>
      <c r="C9" s="26"/>
      <c r="D9" s="26"/>
      <c r="E9" s="26"/>
      <c r="F9" s="26"/>
      <c r="G9" s="26"/>
      <c r="H9" s="26"/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6"/>
      <c r="G10" s="26"/>
      <c r="H10" s="26"/>
    </row>
    <row r="11" customFormat="false" ht="15" hidden="false" customHeight="false" outlineLevel="0" collapsed="false">
      <c r="A11" s="26"/>
      <c r="B11" s="26"/>
      <c r="C11" s="26"/>
      <c r="D11" s="26"/>
      <c r="E11" s="26"/>
      <c r="F11" s="26"/>
      <c r="G11" s="26"/>
      <c r="H11" s="26"/>
    </row>
    <row r="12" customFormat="false" ht="15" hidden="false" customHeight="false" outlineLevel="0" collapsed="false">
      <c r="A12" s="26"/>
      <c r="B12" s="26"/>
      <c r="C12" s="26"/>
      <c r="D12" s="26"/>
      <c r="E12" s="26"/>
      <c r="F12" s="26"/>
      <c r="G12" s="26"/>
      <c r="H12" s="26"/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6"/>
      <c r="G13" s="26"/>
      <c r="H13" s="26"/>
    </row>
    <row r="14" customFormat="false" ht="15" hidden="false" customHeight="false" outlineLevel="0" collapsed="false">
      <c r="A14" s="26"/>
      <c r="B14" s="26"/>
      <c r="C14" s="26"/>
      <c r="D14" s="26"/>
      <c r="E14" s="26"/>
      <c r="F14" s="26"/>
      <c r="G14" s="26"/>
      <c r="H14" s="26"/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6"/>
      <c r="G15" s="26"/>
      <c r="H15" s="26"/>
    </row>
    <row r="16" customFormat="false" ht="15" hidden="false" customHeight="false" outlineLevel="0" collapsed="false">
      <c r="A16" s="26"/>
      <c r="B16" s="26"/>
      <c r="C16" s="26"/>
      <c r="D16" s="26"/>
      <c r="E16" s="26"/>
      <c r="F16" s="26"/>
      <c r="G16" s="26"/>
      <c r="H16" s="26"/>
    </row>
    <row r="17" customFormat="false" ht="15" hidden="false" customHeight="false" outlineLevel="0" collapsed="false">
      <c r="A17" s="26"/>
      <c r="B17" s="26"/>
      <c r="C17" s="26"/>
      <c r="D17" s="26"/>
      <c r="E17" s="26"/>
      <c r="F17" s="26"/>
      <c r="G17" s="26"/>
      <c r="H17" s="26"/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  <c r="G18" s="26"/>
      <c r="H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  <c r="G19" s="26"/>
      <c r="H19" s="26"/>
    </row>
    <row r="21" customFormat="false" ht="15" hidden="false" customHeight="false" outlineLevel="0" collapsed="false">
      <c r="D21" s="9" t="s">
        <v>109</v>
      </c>
      <c r="E21" s="27" t="n">
        <f aca="false">SUM(E5:E19)</f>
        <v>350000</v>
      </c>
      <c r="G21" s="27" t="n">
        <f aca="false">SUM(G5:G19)</f>
        <v>2500</v>
      </c>
    </row>
    <row r="22" customFormat="false" ht="15" hidden="false" customHeight="false" outlineLevel="0" collapsed="false">
      <c r="A22" s="28" t="s">
        <v>110</v>
      </c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A5:A19" type="list">
      <formula1>"HKCD_PAR_2026,HKRB_PAR_2026,GMMB_EQ_2026"</formula1>
      <formula2>0</formula2>
    </dataValidation>
    <dataValidation allowBlank="true" errorStyle="stop" operator="between" showDropDown="false" showErrorMessage="false" showInputMessage="false" sqref="C5:C19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0" t="s">
        <v>111</v>
      </c>
      <c r="B1" s="10"/>
      <c r="C1" s="10"/>
      <c r="D1" s="10"/>
    </row>
    <row r="3" customFormat="false" ht="15" hidden="false" customHeight="false" outlineLevel="0" collapsed="false">
      <c r="A3" s="4" t="s">
        <v>112</v>
      </c>
      <c r="B3" s="5"/>
      <c r="C3" s="5"/>
      <c r="D3" s="5"/>
    </row>
    <row r="4" customFormat="false" ht="15" hidden="false" customHeight="false" outlineLevel="0" collapsed="false">
      <c r="A4" s="11" t="s">
        <v>33</v>
      </c>
      <c r="B4" s="11" t="s">
        <v>34</v>
      </c>
      <c r="C4" s="11" t="s">
        <v>84</v>
      </c>
      <c r="D4" s="11" t="s">
        <v>36</v>
      </c>
    </row>
    <row r="5" customFormat="false" ht="15" hidden="false" customHeight="false" outlineLevel="0" collapsed="false">
      <c r="A5" s="12" t="s">
        <v>113</v>
      </c>
      <c r="B5" s="29" t="n">
        <v>0.995</v>
      </c>
      <c r="C5" s="14" t="s">
        <v>114</v>
      </c>
      <c r="D5" s="15" t="s">
        <v>115</v>
      </c>
    </row>
    <row r="6" customFormat="false" ht="22.35" hidden="false" customHeight="false" outlineLevel="0" collapsed="false">
      <c r="A6" s="12" t="s">
        <v>116</v>
      </c>
      <c r="B6" s="30" t="n">
        <v>0.225</v>
      </c>
      <c r="C6" s="14" t="s">
        <v>117</v>
      </c>
      <c r="D6" s="15" t="s">
        <v>118</v>
      </c>
    </row>
    <row r="7" customFormat="false" ht="15" hidden="false" customHeight="false" outlineLevel="0" collapsed="false">
      <c r="A7" s="12" t="s">
        <v>119</v>
      </c>
      <c r="B7" s="30" t="n">
        <v>0.7567</v>
      </c>
      <c r="C7" s="14" t="s">
        <v>117</v>
      </c>
      <c r="D7" s="15" t="s">
        <v>120</v>
      </c>
    </row>
    <row r="8" customFormat="false" ht="15" hidden="false" customHeight="false" outlineLevel="0" collapsed="false">
      <c r="A8" s="12" t="s">
        <v>121</v>
      </c>
      <c r="B8" s="30" t="n">
        <v>0.845</v>
      </c>
      <c r="C8" s="14" t="s">
        <v>114</v>
      </c>
      <c r="D8" s="15" t="s">
        <v>122</v>
      </c>
    </row>
    <row r="10" customFormat="false" ht="15" hidden="false" customHeight="false" outlineLevel="0" collapsed="false">
      <c r="A10" s="4" t="s">
        <v>123</v>
      </c>
      <c r="B10" s="5"/>
      <c r="C10" s="5"/>
      <c r="D10" s="5"/>
    </row>
    <row r="11" customFormat="false" ht="15" hidden="false" customHeight="false" outlineLevel="0" collapsed="false">
      <c r="A11" s="11" t="s">
        <v>124</v>
      </c>
      <c r="B11" s="11" t="s">
        <v>34</v>
      </c>
      <c r="C11" s="11" t="s">
        <v>84</v>
      </c>
      <c r="D11" s="11" t="s">
        <v>36</v>
      </c>
    </row>
    <row r="12" customFormat="false" ht="15" hidden="false" customHeight="false" outlineLevel="0" collapsed="false">
      <c r="A12" s="31" t="s">
        <v>125</v>
      </c>
      <c r="B12" s="32" t="n">
        <v>2.9451</v>
      </c>
      <c r="C12" s="31" t="s">
        <v>126</v>
      </c>
      <c r="D12" s="15" t="s">
        <v>127</v>
      </c>
    </row>
    <row r="13" customFormat="false" ht="15" hidden="false" customHeight="false" outlineLevel="0" collapsed="false">
      <c r="A13" s="31" t="s">
        <v>128</v>
      </c>
      <c r="B13" s="32" t="n">
        <v>37.866</v>
      </c>
      <c r="C13" s="31" t="s">
        <v>126</v>
      </c>
      <c r="D13" s="15" t="s">
        <v>129</v>
      </c>
    </row>
    <row r="14" customFormat="false" ht="15" hidden="false" customHeight="false" outlineLevel="0" collapsed="false">
      <c r="A14" s="31" t="s">
        <v>130</v>
      </c>
      <c r="B14" s="32" t="n">
        <v>8.506</v>
      </c>
      <c r="C14" s="31" t="s">
        <v>126</v>
      </c>
      <c r="D14" s="15" t="s">
        <v>129</v>
      </c>
    </row>
    <row r="15" customFormat="false" ht="15" hidden="false" customHeight="false" outlineLevel="0" collapsed="false">
      <c r="A15" s="31" t="s">
        <v>131</v>
      </c>
      <c r="B15" s="32" t="s">
        <v>132</v>
      </c>
      <c r="C15" s="31" t="s">
        <v>133</v>
      </c>
      <c r="D15" s="15" t="s">
        <v>134</v>
      </c>
    </row>
    <row r="16" customFormat="false" ht="15" hidden="false" customHeight="false" outlineLevel="0" collapsed="false">
      <c r="A16" s="31" t="s">
        <v>135</v>
      </c>
      <c r="B16" s="32" t="s">
        <v>136</v>
      </c>
      <c r="C16" s="31" t="s">
        <v>137</v>
      </c>
      <c r="D16" s="15" t="s">
        <v>138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0" t="s">
        <v>139</v>
      </c>
      <c r="B1" s="10"/>
      <c r="C1" s="10"/>
      <c r="D1" s="10"/>
    </row>
    <row r="3" customFormat="false" ht="15" hidden="false" customHeight="false" outlineLevel="0" collapsed="false">
      <c r="A3" s="11" t="s">
        <v>33</v>
      </c>
      <c r="B3" s="11" t="s">
        <v>34</v>
      </c>
      <c r="C3" s="11" t="s">
        <v>84</v>
      </c>
      <c r="D3" s="11" t="s">
        <v>36</v>
      </c>
    </row>
    <row r="4" customFormat="false" ht="22.35" hidden="false" customHeight="false" outlineLevel="0" collapsed="false">
      <c r="A4" s="12" t="s">
        <v>140</v>
      </c>
      <c r="B4" s="24" t="n">
        <v>20000</v>
      </c>
      <c r="C4" s="14" t="s">
        <v>141</v>
      </c>
      <c r="D4" s="15" t="s">
        <v>142</v>
      </c>
    </row>
    <row r="5" customFormat="false" ht="15" hidden="false" customHeight="false" outlineLevel="0" collapsed="false">
      <c r="A5" s="12" t="s">
        <v>143</v>
      </c>
      <c r="B5" s="24" t="n">
        <v>20260608</v>
      </c>
      <c r="C5" s="14" t="s">
        <v>46</v>
      </c>
      <c r="D5" s="15" t="s">
        <v>144</v>
      </c>
    </row>
    <row r="6" customFormat="false" ht="15" hidden="false" customHeight="false" outlineLevel="0" collapsed="false">
      <c r="A6" s="12" t="s">
        <v>145</v>
      </c>
      <c r="B6" s="24" t="n">
        <v>200</v>
      </c>
      <c r="C6" s="14" t="s">
        <v>146</v>
      </c>
      <c r="D6" s="15" t="s">
        <v>147</v>
      </c>
    </row>
    <row r="7" customFormat="false" ht="15" hidden="false" customHeight="false" outlineLevel="0" collapsed="false">
      <c r="A7" s="12" t="s">
        <v>148</v>
      </c>
      <c r="B7" s="24" t="n">
        <v>12</v>
      </c>
      <c r="C7" s="14" t="s">
        <v>149</v>
      </c>
      <c r="D7" s="15" t="s">
        <v>150</v>
      </c>
    </row>
    <row r="8" customFormat="false" ht="15" hidden="false" customHeight="false" outlineLevel="0" collapsed="false">
      <c r="A8" s="12" t="s">
        <v>151</v>
      </c>
      <c r="B8" s="13" t="s">
        <v>152</v>
      </c>
      <c r="C8" s="14" t="s">
        <v>43</v>
      </c>
      <c r="D8" s="15" t="s">
        <v>153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2026-06-09T18:46:46Z</dcterms:created>
  <dc:creator>openpyxl</dc:creator>
  <dc:description/>
  <dc:language>en-US</dc:language>
  <cp:lastModifiedBy/>
  <dcterms:modified xsi:type="dcterms:W3CDTF">2026-06-09T18:46:46Z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