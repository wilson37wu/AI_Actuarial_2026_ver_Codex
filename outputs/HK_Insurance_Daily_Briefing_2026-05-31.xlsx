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calcPr calcId="191029" calcMode="auto"/>
  <sheets>
    <sheet name="Summary Dashboard" sheetId="1" r:id="rId1"/>
    <sheet name="All Products" sheetId="2" r:id="rId2"/>
    <sheet name="Savings &amp; QDAP" sheetId="3" r:id="rId3"/>
    <sheet name="VHIS &amp; Medical" sheetId="4" r:id="rId4"/>
    <sheet name="Critical Illness" sheetId="5" r:id="rId5"/>
    <sheet name="Sources Log" sheetId="6" r:id="rId6"/>
  </sheets>
</workbook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1"/>
      <color rgb="FFFFFFFF"/>
      <name val="Arial"/>
    </font>
    <font>
      <u/>
      <sz val="10"/>
      <color rgb="FF0000FF"/>
      <name val="Arial"/>
    </font>
    <font>
      <sz val="10"/>
      <color rgb="FF0000FF"/>
      <name val="Arial"/>
    </font>
    <font>
      <b/>
      <sz val="12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B7C9DA"/>
      </left>
      <right style="thin">
        <color rgb="FFB7C9DA"/>
      </right>
      <top style="thin">
        <color rgb="FFB7C9DA"/>
      </top>
      <bottom style="thin">
        <color rgb="FFB7C9DA"/>
      </bottom>
      <diagonal/>
    </border>
  </borders>
  <cellStyleXfs count="1">
    <xf numFmtId="0" fontId="0" fillId="0" borderId="0"/>
  </cellStyleXfs>
  <cellXfs count="8">
    <xf numFmtId="0" fontId="0" fillId="0" borderId="1" xfId="0" applyAlignment="1">
      <alignment wrapText="1" vertical="top"/>
    </xf>
    <xf numFmtId="0" fontId="1" fillId="2" borderId="1" xfId="0" applyFont="1" applyFill="1" applyAlignment="1">
      <alignment horizontal="center" vertical="center" wrapText="1"/>
    </xf>
    <xf numFmtId="0" fontId="0" fillId="3" borderId="1" xfId="0" applyFill="1" applyAlignment="1">
      <alignment wrapText="1" vertical="top"/>
    </xf>
    <xf numFmtId="0" fontId="0" fillId="0" borderId="1" xfId="0" applyAlignment="1">
      <alignment wrapText="1" vertical="top"/>
    </xf>
    <xf numFmtId="0" fontId="0" fillId="4" borderId="1" xfId="0" applyFill="1" applyAlignment="1">
      <alignment wrapText="1" vertical="top"/>
    </xf>
    <xf numFmtId="0" fontId="2" fillId="0" borderId="1" xfId="0" applyFont="1" applyAlignment="1">
      <alignment wrapText="1" vertical="top"/>
    </xf>
    <xf numFmtId="0" fontId="3" fillId="0" borderId="1" xfId="0" applyFont="1" applyAlignment="1">
      <alignment wrapText="1" vertical="top"/>
    </xf>
    <xf numFmtId="0" fontId="4" fillId="2" borderId="1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baseColWidth="10" defaultRowHeight="15"/>
  <cols>
    <col min="1" max="1" width="41" customWidth="1"/>
    <col min="2" max="2" width="48" customWidth="1"/>
    <col min="3" max="3" width="40" customWidth="1"/>
    <col min="4" max="4" width="48" customWidth="1"/>
    <col min="5" max="5" width="19" customWidth="1"/>
    <col min="6" max="6" width="22" customWidth="1"/>
  </cols>
  <sheetData>
    <row r="1" ht="24" customHeight="1">
      <c r="A1" s="7" t="inlineStr">
        <is>
          <t>HK Life Insurance Daily Product Briefing</t>
        </is>
      </c>
      <c r="B1" s="7"/>
      <c r="C1" s="7"/>
      <c r="D1" s="7"/>
      <c r="E1" s="7"/>
      <c r="F1" s="7"/>
    </row>
    <row r="2" ht="30" customHeight="1">
      <c r="A2" s="3" t="inlineStr">
        <is>
          <t>Report Date</t>
        </is>
      </c>
      <c r="B2" s="3" t="inlineStr">
        <is>
          <t>2026-05-31</t>
        </is>
      </c>
      <c r="C2" s="3" t="inlineStr">
        <is>
          <t>Generated</t>
        </is>
      </c>
      <c r="D2" s="3" t="inlineStr">
        <is>
          <t>2026-05-31 08:00 HKT</t>
        </is>
      </c>
      <c r="E2" s="3" t="inlineStr">
        <is>
          <t>Research Window</t>
        </is>
      </c>
      <c r="F2" s="3" t="inlineStr">
        <is>
          <t>2026-05-24 to 2026-05-31</t>
        </is>
      </c>
    </row>
    <row r="3" ht="30" customHeight="1">
      <c r="A3" s="2" t="inlineStr">
        <is>
          <t>Total tracked product/product-related entries</t>
        </is>
      </c>
      <c r="B3" s="2">
        <f>COUNTA('All Products'!A2:A9)</f>
        <v>8</v>
      </c>
      <c r="C3" s="2" t="inlineStr">
        <is>
          <t>Official top-10 items in strict 7-day window</t>
        </is>
      </c>
      <c r="D3" s="2">
        <v>1</v>
      </c>
      <c r="E3" s="2" t="inlineStr">
        <is>
          <t>New launches past 48h</t>
        </is>
      </c>
      <c r="F3" s="2">
        <v>0</v>
      </c>
    </row>
    <row r="4" ht="30" customHeight="1">
      <c r="A4" s="3" t="inlineStr">
        <is>
          <t>Product updates / active promotions</t>
        </is>
      </c>
      <c r="B4" s="3">
        <v>6</v>
      </c>
      <c r="C4" s="3" t="inlineStr">
        <is>
          <t>Source credibility</t>
        </is>
      </c>
      <c r="D4" s="3" t="inlineStr">
        <is>
          <t>Official insurer/regulatory sources prioritized; financial press used only for market context</t>
        </is>
      </c>
      <c r="E4" s="3"/>
      <c r="F4" s="3"/>
    </row>
    <row r="5" ht="60" customHeight="1">
      <c r="A5" s="2" t="inlineStr">
        <is>
          <t>Market note</t>
        </is>
      </c>
      <c r="B5" s="2" t="inlineStr">
        <is>
          <t>Quiet week: no official top-10 Class A/C/D new product launch found in the past 48 hours; one China Life (Overseas) medical service update fell within the 7-day window.</t>
        </is>
      </c>
      <c r="C5" s="2"/>
      <c r="D5" s="2"/>
      <c r="E5" s="2"/>
      <c r="F5" s="2"/>
    </row>
    <row r="6" ht="30" customHeight="1">
      <c r="A6" s="3"/>
      <c r="B6" s="3"/>
      <c r="C6" s="3"/>
      <c r="D6" s="3"/>
      <c r="E6" s="3"/>
      <c r="F6" s="3"/>
    </row>
    <row r="7" ht="30" customHeight="1">
      <c r="A7" s="2" t="inlineStr">
        <is>
          <t>Count by Category</t>
        </is>
      </c>
      <c r="B7" s="2"/>
      <c r="C7" s="2"/>
      <c r="D7" s="2" t="inlineStr">
        <is>
          <t>Count by Insurer</t>
        </is>
      </c>
      <c r="E7" s="2"/>
      <c r="F7" s="2"/>
    </row>
    <row r="8" ht="30" customHeight="1">
      <c r="A8" s="3" t="inlineStr">
        <is>
          <t>Savings</t>
        </is>
      </c>
      <c r="B8" s="3">
        <f>COUNTIF('All Products'!C2:C9,"Savings")</f>
        <v>3</v>
      </c>
      <c r="C8" s="3"/>
      <c r="D8" s="3" t="inlineStr">
        <is>
          <t>AIA International Limited</t>
        </is>
      </c>
      <c r="E8" s="3">
        <v>2</v>
      </c>
      <c r="F8" s="3"/>
    </row>
    <row r="9" ht="30" customHeight="1">
      <c r="A9" s="2" t="inlineStr">
        <is>
          <t>QDAP</t>
        </is>
      </c>
      <c r="B9" s="2">
        <f>COUNTIF('All Products'!C2:C9,"QDAP")</f>
        <v>0</v>
      </c>
      <c r="C9" s="2"/>
      <c r="D9" s="2" t="inlineStr">
        <is>
          <t>China Life Insurance</t>
        </is>
      </c>
      <c r="E9" s="2">
        <v>1</v>
      </c>
      <c r="F9" s="2"/>
    </row>
    <row r="10" ht="30" customHeight="1">
      <c r="A10" s="3" t="inlineStr">
        <is>
          <t>VHIS</t>
        </is>
      </c>
      <c r="B10" s="3">
        <f>COUNTIF('All Products'!C2:C9,"VHIS")</f>
        <v>2</v>
      </c>
      <c r="C10" s="3"/>
      <c r="D10" s="3" t="inlineStr">
        <is>
          <t>FWD Life Insurance Company</t>
        </is>
      </c>
      <c r="E10" s="3">
        <v>3</v>
      </c>
      <c r="F10" s="3"/>
    </row>
    <row r="11" ht="30" customHeight="1">
      <c r="A11" s="2" t="inlineStr">
        <is>
          <t>Medical</t>
        </is>
      </c>
      <c r="B11" s="2">
        <f>COUNTIF('All Products'!C2:C9,"Medical")</f>
        <v>2</v>
      </c>
      <c r="C11" s="2"/>
      <c r="D11" s="2" t="inlineStr">
        <is>
          <t>Manulife (International) Limited</t>
        </is>
      </c>
      <c r="E11" s="2">
        <v>1</v>
      </c>
      <c r="F11" s="2"/>
    </row>
    <row r="12" ht="30" customHeight="1">
      <c r="A12" s="3" t="inlineStr">
        <is>
          <t>Critical Illness</t>
        </is>
      </c>
      <c r="B12" s="3">
        <f>COUNTIF('All Products'!C2:C9,"Critical Illness")</f>
        <v>1</v>
      </c>
      <c r="C12" s="3"/>
      <c r="D12" s="3" t="inlineStr">
        <is>
          <t>Zurich Life Insurance</t>
        </is>
      </c>
      <c r="E12" s="3">
        <v>1</v>
      </c>
      <c r="F12" s="3"/>
    </row>
    <row r="13" ht="30" customHeight="1">
      <c r="A13" s="2"/>
      <c r="B13" s="2"/>
      <c r="C13" s="2"/>
      <c r="D13" s="2"/>
      <c r="E13" s="2"/>
      <c r="F13" s="2"/>
    </row>
    <row r="14" ht="30" customHeight="1">
      <c r="A14" s="3" t="inlineStr">
        <is>
          <t>Regulatory Intelligence</t>
        </is>
      </c>
      <c r="B14" s="3"/>
      <c r="C14" s="3"/>
      <c r="D14" s="3"/>
      <c r="E14" s="3"/>
      <c r="F14" s="3"/>
    </row>
    <row r="15" ht="30" customHeight="1">
      <c r="A15" s="2" t="inlineStr">
        <is>
          <t>VHIS</t>
        </is>
      </c>
      <c r="B15" s="2" t="inlineStr">
        <is>
          <t>VHIS FAQ states 100 Certified Plans and 573 products as of 2026-03-31.</t>
        </is>
      </c>
      <c r="C15" s="2"/>
      <c r="D15" s="2"/>
      <c r="E15" s="2"/>
      <c r="F15" s="2"/>
    </row>
    <row r="16" ht="30" customHeight="1">
      <c r="A16" s="3" t="inlineStr">
        <is>
          <t>QDAP</t>
        </is>
      </c>
      <c r="B16" s="3" t="inlineStr">
        <is>
          <t>IA QDAP list checked; no top-10 new QDAP launch found in this run.</t>
        </is>
      </c>
      <c r="C16" s="3"/>
      <c r="D16" s="3"/>
      <c r="E16" s="3"/>
      <c r="F16" s="3"/>
    </row>
    <row r="17" ht="30" customHeight="1">
      <c r="A17" s="2" t="inlineStr">
        <is>
          <t>IA / MPFA</t>
        </is>
      </c>
      <c r="B17" s="2" t="inlineStr">
        <is>
          <t>IA circulars and MPFA updates checked; no immediate pricing-product filing found in the past 7 days.</t>
        </is>
      </c>
      <c r="C17" s="2"/>
      <c r="D17" s="2"/>
      <c r="E17" s="2"/>
      <c r="F17" s="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baseColWidth="10" defaultRowHeight="15"/>
  <cols>
    <col min="1" max="1" width="48" customWidth="1"/>
    <col min="2" max="2" width="48" customWidth="1"/>
    <col min="3" max="3" width="15" customWidth="1"/>
    <col min="4" max="4" width="10" customWidth="1"/>
    <col min="5" max="5" width="36" customWidth="1"/>
    <col min="6" max="6" width="48" customWidth="1"/>
    <col min="7" max="7" width="10" customWidth="1"/>
    <col min="8" max="8" width="48" customWidth="1"/>
    <col min="9" max="9" width="48" customWidth="1"/>
    <col min="10" max="10" width="32" customWidth="1"/>
    <col min="11" max="11" width="70" customWidth="1"/>
    <col min="12" max="12" width="41" customWidth="1"/>
    <col min="13" max="13" width="29" customWidth="1"/>
  </cols>
  <sheetData>
    <row r="1" ht="24" customHeight="1">
      <c r="A1" s="1" t="inlineStr">
        <is>
          <t>Insurer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IA Class</t>
        </is>
      </c>
      <c r="E1" s="1" t="inlineStr">
        <is>
          <t>Currency</t>
        </is>
      </c>
      <c r="F1" s="1" t="inlineStr">
        <is>
          <t>Issue Date / Announcement Date</t>
        </is>
      </c>
      <c r="G1" s="1" t="inlineStr">
        <is>
          <t>Source URL</t>
        </is>
      </c>
      <c r="H1" s="1" t="inlineStr">
        <is>
          <t>Premium Payment Terms</t>
        </is>
      </c>
      <c r="I1" s="1" t="inlineStr">
        <is>
          <t>Premium Range</t>
        </is>
      </c>
      <c r="J1" s="1" t="inlineStr">
        <is>
          <t>Issue Age</t>
        </is>
      </c>
      <c r="K1" s="1" t="inlineStr">
        <is>
          <t>Key Benefit Summary</t>
        </is>
      </c>
      <c r="L1" s="1" t="inlineStr">
        <is>
          <t>Update Type</t>
        </is>
      </c>
      <c r="M1" s="1" t="inlineStr">
        <is>
          <t>Recency Flag</t>
        </is>
      </c>
    </row>
    <row r="2" ht="60" customHeight="1">
      <c r="A2" s="3" t="inlineStr">
        <is>
          <t>China Life Insurance (Overseas) Company Limited (中國人壽保險（海外）)</t>
        </is>
      </c>
      <c r="B2" s="3" t="inlineStr">
        <is>
          <t>Oncology direct-billing service expansion with New Frontier Health (腫瘤專科門診直付理賠服務)</t>
        </is>
      </c>
      <c r="C2" s="3" t="inlineStr">
        <is>
          <t>Medical</t>
        </is>
      </c>
      <c r="D2" s="6" t="inlineStr">
        <is>
          <t>Class D</t>
        </is>
      </c>
      <c r="E2" s="3" t="inlineStr">
        <is>
          <t>HKD</t>
        </is>
      </c>
      <c r="F2" s="4" t="inlineStr">
        <is>
          <t>2026-05-26</t>
        </is>
      </c>
      <c r="G2" s="5" t="str">
        <f>HYPERLINK("https://www.chinalife.com.hk/zh-hk/about-us/news-center/china-life-overseas-and-new-frontier-health-hong-kong-forge-strategic","Open source")</f>
        <v>Open source</v>
      </c>
      <c r="H2" s="3" t="inlineStr">
        <is>
          <t>N/A - service/network enhancement for eligible personal medical insurance customers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t>Strategic partnership extends China Life (Overseas)' medical direct-billing network from inpatient services into specialist oncology outpatient services, day treatment, drugs and imaging diagnosis via Hong Kong Integrated Oncology Centre and Icon Cancer Centre.</t>
        </is>
      </c>
      <c r="L2" s="3" t="inlineStr">
        <is>
          <t>Product-related service update</t>
        </is>
      </c>
      <c r="M2" s="3" t="inlineStr">
        <is>
          <t>Past 7 days</t>
        </is>
      </c>
    </row>
    <row r="3" ht="60" customHeight="1">
      <c r="A3" s="2" t="inlineStr">
        <is>
          <t>FWD Life Insurance Company (Bermuda) Limited (富衛人壽保險)</t>
        </is>
      </c>
      <c r="B3" s="2" t="inlineStr">
        <is>
          <t>MyCover Critical Illness Plan</t>
        </is>
      </c>
      <c r="C3" s="2" t="inlineStr">
        <is>
          <t>Critical Illness</t>
        </is>
      </c>
      <c r="D3" s="6" t="inlineStr">
        <is>
          <t>Class D</t>
        </is>
      </c>
      <c r="E3" s="2" t="inlineStr">
        <is>
          <t>HKD</t>
        </is>
      </c>
      <c r="F3" s="2" t="inlineStr">
        <is>
          <t>N/A - active official online promotion as of 2026-05-31; offer ends 2026-06-10</t>
        </is>
      </c>
      <c r="G3" s="5" t="str">
        <f>HYPERLINK("https://www.fwd.com.hk/online-insurance/term-critical-illness/en/","Open source")</f>
        <v>Open source</v>
      </c>
      <c r="H3" s="2" t="inlineStr">
        <is>
          <t>Yearly renewable / 10-year renewable; premium payment to policy anniversary immediately preceding age 85</t>
        </is>
      </c>
      <c r="I3" s="2" t="inlineStr">
        <is>
          <t>Monthly premium shown as low as HK$14.31; sum insured HK$300,000-HK$2,500,000 depending on age</t>
        </is>
      </c>
      <c r="J3" s="2" t="inlineStr">
        <is>
          <t>Age next birthday 1 (15 days) to 70</t>
        </is>
      </c>
      <c r="K3" s="2" t="inlineStr">
        <is>
          <t>Online term CI plan covering the big three diseases, carcinoma-in-situ and early malignancies; optional Crisis Benefit adds 59 additional critical illnesses, and MyCover 2-in-1 adds post-claim medical reimbursement for the big three diseases.</t>
        </is>
      </c>
      <c r="L3" s="2" t="inlineStr">
        <is>
          <t>Current promotion / product page update</t>
        </is>
      </c>
      <c r="M3" s="2" t="inlineStr">
        <is>
          <t>Current offer</t>
        </is>
      </c>
    </row>
    <row r="4" ht="60" customHeight="1">
      <c r="A4" s="3" t="inlineStr">
        <is>
          <t>FWD Life Insurance Company (Bermuda) Limited (富衛人壽保險)</t>
        </is>
      </c>
      <c r="B4" s="3" t="inlineStr">
        <is>
          <t>vPrime Medical Plan (VHIS Flexi Plan)</t>
        </is>
      </c>
      <c r="C4" s="3" t="inlineStr">
        <is>
          <t>VHIS</t>
        </is>
      </c>
      <c r="D4" s="6" t="inlineStr">
        <is>
          <t>Class D</t>
        </is>
      </c>
      <c r="E4" s="3" t="inlineStr">
        <is>
          <t>HKD</t>
        </is>
      </c>
      <c r="F4" s="3" t="inlineStr">
        <is>
          <t>N/A - active official online promotion as of 2026-05-31; offer ends 2026-06-10</t>
        </is>
      </c>
      <c r="G4" s="5" t="str">
        <f>HYPERLINK("https://www.fwd.com.hk/online-insurance/vhis-vprime-medical-plan/en/","Open source")</f>
        <v>Open source</v>
      </c>
      <c r="H4" s="3" t="inlineStr">
        <is>
          <t>Regular pay; online monthly/annual quote options shown</t>
        </is>
      </c>
      <c r="I4" s="3" t="inlineStr">
        <is>
          <t>Illustrative first-year monthly premium from HK$119-HK$917 for ANB31 depending on deductible, after promotion assumptions</t>
        </is>
      </c>
      <c r="J4" s="3" t="inlineStr">
        <is>
          <t>N/A in public page excerpt</t>
        </is>
      </c>
      <c r="K4" s="3" t="inlineStr">
        <is>
          <t>VHIS Flexi medical plan with annual benefit limit up to HK$12.5 million, no lifetime benefit limit, six deductible options, deductible waiver for designated crises, cash benefits and no-claims premium discount.</t>
        </is>
      </c>
      <c r="L4" s="3" t="inlineStr">
        <is>
          <t>Current promotion / product page update</t>
        </is>
      </c>
      <c r="M4" s="3" t="inlineStr">
        <is>
          <t>Current offer</t>
        </is>
      </c>
    </row>
    <row r="5" ht="60" customHeight="1">
      <c r="A5" s="2" t="inlineStr">
        <is>
          <t>FWD Life Insurance Company (Bermuda) Limited (富衛人壽保險)</t>
        </is>
      </c>
      <c r="B5" s="2" t="inlineStr">
        <is>
          <t>One&amp;All Medical Insurance Plan</t>
        </is>
      </c>
      <c r="C5" s="2" t="inlineStr">
        <is>
          <t>Medical</t>
        </is>
      </c>
      <c r="D5" s="6" t="inlineStr">
        <is>
          <t>Class D</t>
        </is>
      </c>
      <c r="E5" s="2" t="inlineStr">
        <is>
          <t>HKD</t>
        </is>
      </c>
      <c r="F5" s="2" t="inlineStr">
        <is>
          <t>2025-08-17; current online promotion as of 2026-05-31 ends 2026-06-10</t>
        </is>
      </c>
      <c r="G5" s="5" t="str">
        <f>HYPERLINK("https://www.fwd.com.hk/online-insurance/online-promotions/en/","Open source")</f>
        <v>Open source</v>
      </c>
      <c r="H5" s="2" t="inlineStr">
        <is>
          <t>Regular pay</t>
        </is>
      </c>
      <c r="I5" s="2" t="inlineStr">
        <is>
          <t>Daily premium less than HK$3; current promotion shows total 12-month premium waiver in first 2 years</t>
        </is>
      </c>
      <c r="J5" s="2" t="inlineStr">
        <is>
          <t>N/A in public page excerpt</t>
        </is>
      </c>
      <c r="K5" s="2" t="inlineStr">
        <is>
          <t>Mass-market medical cover positioned around flexible public/private hospital-type segmentation and affordable entry protection; active online promotion offers premium waiver benefits.</t>
        </is>
      </c>
      <c r="L5" s="2" t="inlineStr">
        <is>
          <t>Current promotion</t>
        </is>
      </c>
      <c r="M5" s="2" t="inlineStr">
        <is>
          <t>Current offer</t>
        </is>
      </c>
    </row>
    <row r="6" ht="60" customHeight="1">
      <c r="A6" s="3" t="inlineStr">
        <is>
          <t>AIA International Limited (友邦保險)</t>
        </is>
      </c>
      <c r="B6" s="3" t="inlineStr">
        <is>
          <t>ProsperLife Insurance Plan (活然人生保險計劃)</t>
        </is>
      </c>
      <c r="C6" s="3" t="inlineStr">
        <is>
          <t>Savings</t>
        </is>
      </c>
      <c r="D6" s="6" t="inlineStr">
        <is>
          <t>Class A</t>
        </is>
      </c>
      <c r="E6" s="3" t="inlineStr">
        <is>
          <t>HKD</t>
        </is>
      </c>
      <c r="F6" s="3" t="inlineStr">
        <is>
          <t>2026-03-31; campaign issuance deadline 2026-05-31</t>
        </is>
      </c>
      <c r="G6" s="5" t="str">
        <f>HYPERLINK("https://www.aia.com.hk/en/about-aia/about-us/media-centre/press-releases/2026/aia-press-release-20260331","Open source")</f>
        <v>Open source</v>
      </c>
      <c r="H6" s="3" t="inlineStr">
        <is>
          <t>Regular pay; product launch example cites premiums from HKD60 per day</t>
        </is>
      </c>
      <c r="I6" s="3" t="inlineStr">
        <is>
          <t>Example: HKD60 per day for HKD1.9 million sum assured</t>
        </is>
      </c>
      <c r="J6" s="3" t="inlineStr">
        <is>
          <t>N/A in release</t>
        </is>
      </c>
      <c r="K6" s="3" t="inlineStr">
        <is>
          <t>Participating whole life plan focused on mortality protection and family settlement flexibility, with death benefit settlement options and first-in-market Beneficiary Flexi Option for beneficiary-driven payout timing after designated age or specified illness.</t>
        </is>
      </c>
      <c r="L6" s="3" t="inlineStr">
        <is>
          <t>Latest 2026 launch / active campaign deadline</t>
        </is>
      </c>
      <c r="M6" s="3" t="inlineStr">
        <is>
          <t>Older launch; current campaign</t>
        </is>
      </c>
    </row>
    <row r="7" ht="60" customHeight="1">
      <c r="A7" s="2" t="inlineStr">
        <is>
          <t>Zurich Life Insurance (Hong Kong) Limited (蘇黎世人壽保險（香港）)</t>
        </is>
      </c>
      <c r="B7" s="2" t="inlineStr">
        <is>
          <t>Swiss Prime Savings Insurance Plan (瑞盈儲蓄保險計劃)</t>
        </is>
      </c>
      <c r="C7" s="2" t="inlineStr">
        <is>
          <t>Savings</t>
        </is>
      </c>
      <c r="D7" s="6" t="inlineStr">
        <is>
          <t>Class A</t>
        </is>
      </c>
      <c r="E7" s="2" t="inlineStr">
        <is>
          <t>Multi-currency / 7 settlement currencies</t>
        </is>
      </c>
      <c r="F7" s="2" t="inlineStr">
        <is>
          <t>2026-03-10; policy issue deadline for launch offer 2026-05-29</t>
        </is>
      </c>
      <c r="G7" s="5" t="str">
        <f>HYPERLINK("https://www.zurich.com.hk/en/about-zurich/news-and-announcements/2026/2026-0310","Open source")</f>
        <v>Open source</v>
      </c>
      <c r="H7" s="2" t="inlineStr">
        <is>
          <t>2-pay / 5-pay</t>
        </is>
      </c>
      <c r="I7" s="2" t="inlineStr">
        <is>
          <t>N/A in release; launch offer up to 58% first-year annualized premium discount plus prepayment interest offer</t>
        </is>
      </c>
      <c r="J7" s="2" t="inlineStr">
        <is>
          <t>N/A in release</t>
        </is>
      </c>
      <c r="K7" s="2" t="inlineStr">
        <is>
          <t>Participating savings plan with short premium commitment, guaranteed cash value, non-guaranteed terminal bonus, terminal bonus lock-in, premium holiday and estate/legacy options including policy split and contingent policyholder nomination.</t>
        </is>
      </c>
      <c r="L7" s="2" t="inlineStr">
        <is>
          <t>Latest 2026 launch / offer deadline</t>
        </is>
      </c>
      <c r="M7" s="2" t="inlineStr">
        <is>
          <t>Older launch; May offer deadline</t>
        </is>
      </c>
    </row>
    <row r="8" ht="60" customHeight="1">
      <c r="A8" s="3" t="inlineStr">
        <is>
          <t>Manulife (International) Limited (宏利人壽保險)</t>
        </is>
      </c>
      <c r="B8" s="3" t="inlineStr">
        <is>
          <t>GoldenStart Whole Life Immediate Annuity Insurance Plan (宏瑞終身即期年金保險計劃)</t>
        </is>
      </c>
      <c r="C8" s="3" t="inlineStr">
        <is>
          <t>Savings</t>
        </is>
      </c>
      <c r="D8" s="6" t="inlineStr">
        <is>
          <t>Class A</t>
        </is>
      </c>
      <c r="E8" s="3" t="inlineStr">
        <is>
          <t>N/A in release</t>
        </is>
      </c>
      <c r="F8" s="3" t="inlineStr">
        <is>
          <t>2026-04-20</t>
        </is>
      </c>
      <c r="G8" s="5" t="str">
        <f>HYPERLINK("https://www.manulife.com.hk/en/individual/about/newsroom/manulife-launches-new-annuity-and-accident-protection-solutions.html","Open source")</f>
        <v>Open source</v>
      </c>
      <c r="H8" s="3" t="inlineStr">
        <is>
          <t>Single premium</t>
        </is>
      </c>
      <c r="I8" s="3" t="inlineStr">
        <is>
          <t>N/A in release</t>
        </is>
      </c>
      <c r="J8" s="3" t="inlineStr">
        <is>
          <t>N/A in release</t>
        </is>
      </c>
      <c r="K8" s="3" t="inlineStr">
        <is>
          <t>Whole-life immediate annuity converting single premium into guaranteed monthly income for life, with non-guaranteed terminal bonus potential, Whole Care Benefit for 14 designated critical/mental illness conditions and By Your Side annual payments for Severe Dementia or Parkinson's Disease before age 80.</t>
        </is>
      </c>
      <c r="L8" s="3" t="inlineStr">
        <is>
          <t>Latest 2026 launch found</t>
        </is>
      </c>
      <c r="M8" s="3" t="inlineStr">
        <is>
          <t>Older launch</t>
        </is>
      </c>
    </row>
    <row r="9" ht="60" customHeight="1">
      <c r="A9" s="2" t="inlineStr">
        <is>
          <t>AIA International Limited (友邦保險)</t>
        </is>
      </c>
      <c r="B9" s="2" t="inlineStr">
        <is>
          <t>AIA Voluntary Health Insurance SelectWise Scheme</t>
        </is>
      </c>
      <c r="C9" s="2" t="inlineStr">
        <is>
          <t>VHIS</t>
        </is>
      </c>
      <c r="D9" s="6" t="inlineStr">
        <is>
          <t>Class D</t>
        </is>
      </c>
      <c r="E9" s="2" t="inlineStr">
        <is>
          <t>HKD</t>
        </is>
      </c>
      <c r="F9" s="2" t="inlineStr">
        <is>
          <t>2026-02-03</t>
        </is>
      </c>
      <c r="G9" s="5" t="str">
        <f>HYPERLINK("https://www.aia.com.hk/en/about-aia/about-us/media-centre/press-releases/2026/aia-press-release-20260203","Open source")</f>
        <v>Open source</v>
      </c>
      <c r="H9" s="2" t="inlineStr">
        <is>
          <t>Regular pay</t>
        </is>
      </c>
      <c r="I9" s="2" t="inlineStr">
        <is>
          <t>N/A in release</t>
        </is>
      </c>
      <c r="J9" s="2" t="inlineStr">
        <is>
          <t>N/A in release</t>
        </is>
      </c>
      <c r="K9" s="2" t="inlineStr">
        <is>
          <t>VHIS certified plan with no itemised benefit sublimits, designated hospital network, upgraded room options subject to pre-authorization and network doctor conditions, annual limit up to HK$12 million and lifetime limit up to HK$60 million.</t>
        </is>
      </c>
      <c r="L9" s="2" t="inlineStr">
        <is>
          <t>Latest 2026 launch found</t>
        </is>
      </c>
      <c r="M9" s="2" t="inlineStr">
        <is>
          <t>Older launch</t>
        </is>
      </c>
    </row>
  </sheetData>
  <autoFilter ref="A1:M9"/>
  <dataValidations count="2">
    <dataValidation type="list" allowBlank="1" showErrorMessage="1" sqref="C2:C9">
      <formula1>"Savings,QDAP,VHIS,Medical,Critical Illness"</formula1>
    </dataValidation>
    <dataValidation type="list" allowBlank="1" showErrorMessage="1" sqref="D2:D9">
      <formula1>"Class A,Class C,Class 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baseColWidth="10" defaultRowHeight="15"/>
  <cols>
    <col min="1" max="1" width="48" customWidth="1"/>
    <col min="2" max="2" width="48" customWidth="1"/>
    <col min="3" max="3" width="15" customWidth="1"/>
    <col min="4" max="4" width="10" customWidth="1"/>
    <col min="5" max="5" width="36" customWidth="1"/>
    <col min="6" max="6" width="48" customWidth="1"/>
    <col min="7" max="7" width="10" customWidth="1"/>
    <col min="8" max="8" width="48" customWidth="1"/>
    <col min="9" max="9" width="48" customWidth="1"/>
    <col min="10" max="10" width="13" customWidth="1"/>
    <col min="11" max="11" width="70" customWidth="1"/>
    <col min="12" max="12" width="41" customWidth="1"/>
    <col min="13" max="13" width="29" customWidth="1"/>
    <col min="14" max="14" width="48" customWidth="1"/>
    <col min="15" max="15" width="48" customWidth="1"/>
    <col min="16" max="16" width="48" customWidth="1"/>
    <col min="17" max="17" width="48" customWidth="1"/>
    <col min="18" max="18" width="46" customWidth="1"/>
    <col min="19" max="19" width="43" customWidth="1"/>
    <col min="20" max="20" width="18" customWidth="1"/>
  </cols>
  <sheetData>
    <row r="1" ht="24" customHeight="1">
      <c r="A1" s="1" t="inlineStr">
        <is>
          <t>Insurer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IA Class</t>
        </is>
      </c>
      <c r="E1" s="1" t="inlineStr">
        <is>
          <t>Currency</t>
        </is>
      </c>
      <c r="F1" s="1" t="inlineStr">
        <is>
          <t>Issue Date / Announcement Date</t>
        </is>
      </c>
      <c r="G1" s="1" t="inlineStr">
        <is>
          <t>Source URL</t>
        </is>
      </c>
      <c r="H1" s="1" t="inlineStr">
        <is>
          <t>Premium Payment Terms</t>
        </is>
      </c>
      <c r="I1" s="1" t="inlineStr">
        <is>
          <t>Premium Range</t>
        </is>
      </c>
      <c r="J1" s="1" t="inlineStr">
        <is>
          <t>Issue Age</t>
        </is>
      </c>
      <c r="K1" s="1" t="inlineStr">
        <is>
          <t>Key Benefit Summary</t>
        </is>
      </c>
      <c r="L1" s="1" t="inlineStr">
        <is>
          <t>Update Type</t>
        </is>
      </c>
      <c r="M1" s="1" t="inlineStr">
        <is>
          <t>Recency Flag</t>
        </is>
      </c>
      <c r="N1" s="1" t="inlineStr">
        <is>
          <t>Guaranteed Cash Value / IRR</t>
        </is>
      </c>
      <c r="O1" s="1" t="inlineStr">
        <is>
          <t>Non-Guaranteed Projected Return</t>
        </is>
      </c>
      <c r="P1" s="1" t="inlineStr">
        <is>
          <t>Bonus / Dividend Structure</t>
        </is>
      </c>
      <c r="Q1" s="1" t="inlineStr">
        <is>
          <t>Premium Holiday / Flexibility</t>
        </is>
      </c>
      <c r="R1" s="1" t="inlineStr">
        <is>
          <t>Policy Loan</t>
        </is>
      </c>
      <c r="S1" s="1" t="inlineStr">
        <is>
          <t>QDAP Tax Deduction</t>
        </is>
      </c>
      <c r="T1" s="1" t="inlineStr">
        <is>
          <t>Annuity Commencement</t>
        </is>
      </c>
    </row>
    <row r="2" ht="60" customHeight="1">
      <c r="A2" s="3" t="inlineStr">
        <is>
          <t>AIA International Limited (友邦保險)</t>
        </is>
      </c>
      <c r="B2" s="3" t="inlineStr">
        <is>
          <t>ProsperLife Insurance Plan (活然人生保險計劃)</t>
        </is>
      </c>
      <c r="C2" s="3" t="inlineStr">
        <is>
          <t>Savings</t>
        </is>
      </c>
      <c r="D2" s="6" t="inlineStr">
        <is>
          <t>Class A</t>
        </is>
      </c>
      <c r="E2" s="3" t="inlineStr">
        <is>
          <t>HKD</t>
        </is>
      </c>
      <c r="F2" s="3" t="inlineStr">
        <is>
          <t>2026-03-31; campaign issuance deadline 2026-05-31</t>
        </is>
      </c>
      <c r="G2" s="5" t="str">
        <f>HYPERLINK("https://www.aia.com.hk/en/about-aia/about-us/media-centre/press-releases/2026/aia-press-release-20260331","Open source")</f>
        <v>Open source</v>
      </c>
      <c r="H2" s="3" t="inlineStr">
        <is>
          <t>Regular pay; product launch example cites premiums from HKD60 per day</t>
        </is>
      </c>
      <c r="I2" s="3" t="inlineStr">
        <is>
          <t>Example: HKD60 per day for HKD1.9 million sum assured</t>
        </is>
      </c>
      <c r="J2" s="3" t="inlineStr">
        <is>
          <t>N/A in release</t>
        </is>
      </c>
      <c r="K2" s="3" t="inlineStr">
        <is>
          <t>Participating whole life plan focused on mortality protection and family settlement flexibility, with death benefit settlement options and first-in-market Beneficiary Flexi Option for beneficiary-driven payout timing after designated age or specified illness.</t>
        </is>
      </c>
      <c r="L2" s="3" t="inlineStr">
        <is>
          <t>Latest 2026 launch / active campaign deadline</t>
        </is>
      </c>
      <c r="M2" s="3" t="inlineStr">
        <is>
          <t>Older launch; current campaign</t>
        </is>
      </c>
      <c r="N2" s="3" t="inlineStr">
        <is>
          <t>Guaranteed cash value not disclosed in release</t>
        </is>
      </c>
      <c r="O2" s="3" t="inlineStr">
        <is>
          <t>N/A</t>
        </is>
      </c>
      <c r="P2" s="3" t="inlineStr">
        <is>
          <t>Participating whole life; release does not disclose dividend mechanics</t>
        </is>
      </c>
      <c r="Q2" s="3" t="inlineStr">
        <is>
          <t>Death Benefit Settlement Option; Beneficiary Flexi Option; add-on riders; PRMP eligible</t>
        </is>
      </c>
      <c r="R2" s="3" t="inlineStr">
        <is>
          <t>N/A in release</t>
        </is>
      </c>
      <c r="S2" s="3" t="inlineStr">
        <is>
          <t>N/A</t>
        </is>
      </c>
      <c r="T2" s="3" t="inlineStr">
        <is>
          <t>N/A</t>
        </is>
      </c>
    </row>
    <row r="3" ht="60" customHeight="1">
      <c r="A3" s="2" t="inlineStr">
        <is>
          <t>Zurich Life Insurance (Hong Kong) Limited (蘇黎世人壽保險（香港）)</t>
        </is>
      </c>
      <c r="B3" s="2" t="inlineStr">
        <is>
          <t>Swiss Prime Savings Insurance Plan (瑞盈儲蓄保險計劃)</t>
        </is>
      </c>
      <c r="C3" s="2" t="inlineStr">
        <is>
          <t>Savings</t>
        </is>
      </c>
      <c r="D3" s="6" t="inlineStr">
        <is>
          <t>Class A</t>
        </is>
      </c>
      <c r="E3" s="2" t="inlineStr">
        <is>
          <t>Multi-currency / 7 settlement currencies</t>
        </is>
      </c>
      <c r="F3" s="2" t="inlineStr">
        <is>
          <t>2026-03-10; policy issue deadline for launch offer 2026-05-29</t>
        </is>
      </c>
      <c r="G3" s="5" t="str">
        <f>HYPERLINK("https://www.zurich.com.hk/en/about-zurich/news-and-announcements/2026/2026-0310","Open source")</f>
        <v>Open source</v>
      </c>
      <c r="H3" s="2" t="inlineStr">
        <is>
          <t>2-pay / 5-pay</t>
        </is>
      </c>
      <c r="I3" s="2" t="inlineStr">
        <is>
          <t>N/A in release; launch offer up to 58% first-year annualized premium discount plus prepayment interest offer</t>
        </is>
      </c>
      <c r="J3" s="2" t="inlineStr">
        <is>
          <t>N/A in release</t>
        </is>
      </c>
      <c r="K3" s="2" t="inlineStr">
        <is>
          <t>Participating savings plan with short premium commitment, guaranteed cash value, non-guaranteed terminal bonus, terminal bonus lock-in, premium holiday and estate/legacy options including policy split and contingent policyholder nomination.</t>
        </is>
      </c>
      <c r="L3" s="2" t="inlineStr">
        <is>
          <t>Latest 2026 launch / offer deadline</t>
        </is>
      </c>
      <c r="M3" s="2" t="inlineStr">
        <is>
          <t>Older launch; May offer deadline</t>
        </is>
      </c>
      <c r="N3" s="2" t="inlineStr">
        <is>
          <t>Guaranteed cash value offers predictable returns and may increase over policy years; detailed IRR not disclosed in release</t>
        </is>
      </c>
      <c r="O3" s="2" t="inlineStr">
        <is>
          <t>Non-guaranteed terminal bonus; projected IRR not disclosed in release</t>
        </is>
      </c>
      <c r="P3" s="2" t="inlineStr">
        <is>
          <t>Non-guaranteed terminal bonus with lock-in option</t>
        </is>
      </c>
      <c r="Q3" s="2" t="inlineStr">
        <is>
          <t>Premium holiday, 7 settlement currencies, access to policy value, policy split, change of life insured/policyholder, contingent life insured and contingent policyholder nomination.</t>
        </is>
      </c>
      <c r="R3" s="2" t="inlineStr">
        <is>
          <t>Access to policy value disclosed; LTV not disclosed</t>
        </is>
      </c>
      <c r="S3" s="2" t="inlineStr">
        <is>
          <t>N/A</t>
        </is>
      </c>
      <c r="T3" s="2" t="inlineStr">
        <is>
          <t>N/A</t>
        </is>
      </c>
    </row>
    <row r="4" ht="60" customHeight="1">
      <c r="A4" s="3" t="inlineStr">
        <is>
          <t>Manulife (International) Limited (宏利人壽保險)</t>
        </is>
      </c>
      <c r="B4" s="3" t="inlineStr">
        <is>
          <t>GoldenStart Whole Life Immediate Annuity Insurance Plan (宏瑞終身即期年金保險計劃)</t>
        </is>
      </c>
      <c r="C4" s="3" t="inlineStr">
        <is>
          <t>Savings</t>
        </is>
      </c>
      <c r="D4" s="6" t="inlineStr">
        <is>
          <t>Class A</t>
        </is>
      </c>
      <c r="E4" s="3" t="inlineStr">
        <is>
          <t>N/A in release</t>
        </is>
      </c>
      <c r="F4" s="3" t="inlineStr">
        <is>
          <t>2026-04-20</t>
        </is>
      </c>
      <c r="G4" s="5" t="str">
        <f>HYPERLINK("https://www.manulife.com.hk/en/individual/about/newsroom/manulife-launches-new-annuity-and-accident-protection-solutions.html","Open source")</f>
        <v>Open source</v>
      </c>
      <c r="H4" s="3" t="inlineStr">
        <is>
          <t>Single premium</t>
        </is>
      </c>
      <c r="I4" s="3" t="inlineStr">
        <is>
          <t>N/A in release</t>
        </is>
      </c>
      <c r="J4" s="3" t="inlineStr">
        <is>
          <t>N/A in release</t>
        </is>
      </c>
      <c r="K4" s="3" t="inlineStr">
        <is>
          <t>Whole-life immediate annuity converting single premium into guaranteed monthly income for life, with non-guaranteed terminal bonus potential, Whole Care Benefit for 14 designated critical/mental illness conditions and By Your Side annual payments for Severe Dementia or Parkinson's Disease before age 80.</t>
        </is>
      </c>
      <c r="L4" s="3" t="inlineStr">
        <is>
          <t>Latest 2026 launch found</t>
        </is>
      </c>
      <c r="M4" s="3" t="inlineStr">
        <is>
          <t>Older launch</t>
        </is>
      </c>
      <c r="N4" s="3" t="inlineStr">
        <is>
          <t>Guaranteed monthly income for life commencing from first monthiversary</t>
        </is>
      </c>
      <c r="O4" s="3" t="inlineStr">
        <is>
          <t>Non-guaranteed terminal bonus may be payable on surrender, termination or death</t>
        </is>
      </c>
      <c r="P4" s="3" t="inlineStr">
        <is>
          <t>Non-guaranteed terminal bonus reviewed at least monthly</t>
        </is>
      </c>
      <c r="Q4" s="3" t="inlineStr">
        <is>
          <t>Whole Care Benefit can realize part of available terminal bonus after 14 specified critical/mental illnesses; By Your Side Benefit pays annual amounts for up to 10 years after Severe Dementia/Parkinson's diagnosis before age 80.</t>
        </is>
      </c>
      <c r="R4" s="3" t="inlineStr">
        <is>
          <t>N/A in release</t>
        </is>
      </c>
      <c r="S4" s="3" t="inlineStr">
        <is>
          <t>N/A - immediate annuity, not identified as QDAP</t>
        </is>
      </c>
      <c r="T4" s="3" t="inlineStr">
        <is>
          <t>First monthiversary</t>
        </is>
      </c>
    </row>
  </sheetData>
  <autoFilter ref="A1:T4"/>
  <dataValidations count="2">
    <dataValidation type="list" allowBlank="1" showErrorMessage="1" sqref="C2:C4">
      <formula1>"Savings,QDAP"</formula1>
    </dataValidation>
    <dataValidation type="list" allowBlank="1" showErrorMessage="1" sqref="D2:D4">
      <formula1>"Class A,Class C,Class 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baseColWidth="10" defaultRowHeight="15"/>
  <cols>
    <col min="1" max="1" width="48" customWidth="1"/>
    <col min="2" max="2" width="48" customWidth="1"/>
    <col min="3" max="3" width="15" customWidth="1"/>
    <col min="4" max="4" width="10" customWidth="1"/>
    <col min="5" max="5" width="10" customWidth="1"/>
    <col min="6" max="6" width="48" customWidth="1"/>
    <col min="7" max="7" width="10" customWidth="1"/>
    <col min="8" max="8" width="48" customWidth="1"/>
    <col min="9" max="9" width="48" customWidth="1"/>
    <col min="10" max="10" width="24" customWidth="1"/>
    <col min="11" max="11" width="70" customWidth="1"/>
    <col min="12" max="12" width="36" customWidth="1"/>
    <col min="13" max="13" width="12" customWidth="1"/>
    <col min="14" max="14" width="48" customWidth="1"/>
    <col min="15" max="15" width="48" customWidth="1"/>
    <col min="16" max="16" width="34" customWidth="1"/>
    <col min="17" max="17" width="27" customWidth="1"/>
    <col min="18" max="18" width="48" customWidth="1"/>
    <col min="19" max="19" width="48" customWidth="1"/>
    <col min="20" max="20" width="48" customWidth="1"/>
    <col min="21" max="21" width="48" customWidth="1"/>
  </cols>
  <sheetData>
    <row r="1" ht="24" customHeight="1">
      <c r="A1" s="1" t="inlineStr">
        <is>
          <t>Insurer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IA Class</t>
        </is>
      </c>
      <c r="E1" s="1" t="inlineStr">
        <is>
          <t>Currency</t>
        </is>
      </c>
      <c r="F1" s="1" t="inlineStr">
        <is>
          <t>Issue Date / Announcement Date</t>
        </is>
      </c>
      <c r="G1" s="1" t="inlineStr">
        <is>
          <t>Source URL</t>
        </is>
      </c>
      <c r="H1" s="1" t="inlineStr">
        <is>
          <t>Premium Payment Terms</t>
        </is>
      </c>
      <c r="I1" s="1" t="inlineStr">
        <is>
          <t>Premium Range</t>
        </is>
      </c>
      <c r="J1" s="1" t="inlineStr">
        <is>
          <t>Issue Age</t>
        </is>
      </c>
      <c r="K1" s="1" t="inlineStr">
        <is>
          <t>Key Benefit Summary</t>
        </is>
      </c>
      <c r="L1" s="1" t="inlineStr">
        <is>
          <t>Update Type</t>
        </is>
      </c>
      <c r="M1" s="1" t="inlineStr">
        <is>
          <t>Recency Flag</t>
        </is>
      </c>
      <c r="N1" s="1" t="inlineStr">
        <is>
          <t>Plan Type</t>
        </is>
      </c>
      <c r="O1" s="1" t="inlineStr">
        <is>
          <t>Room Class</t>
        </is>
      </c>
      <c r="P1" s="1" t="inlineStr">
        <is>
          <t>Annual Benefit Limit</t>
        </is>
      </c>
      <c r="Q1" s="1" t="inlineStr">
        <is>
          <t>Lifetime Benefit Limit</t>
        </is>
      </c>
      <c r="R1" s="1" t="inlineStr">
        <is>
          <t>Key Claimable Items</t>
        </is>
      </c>
      <c r="S1" s="1" t="inlineStr">
        <is>
          <t>Co-payment / Deductible</t>
        </is>
      </c>
      <c r="T1" s="1" t="inlineStr">
        <is>
          <t>Pre-existing Condition</t>
        </is>
      </c>
      <c r="U1" s="1" t="inlineStr">
        <is>
          <t>Cancer Coverage</t>
        </is>
      </c>
    </row>
    <row r="2" ht="60" customHeight="1">
      <c r="A2" s="3" t="inlineStr">
        <is>
          <t>China Life Insurance (Overseas) Company Limited (中國人壽保險（海外）)</t>
        </is>
      </c>
      <c r="B2" s="3" t="inlineStr">
        <is>
          <t>Oncology direct-billing service expansion with New Frontier Health (腫瘤專科門診直付理賠服務)</t>
        </is>
      </c>
      <c r="C2" s="3" t="inlineStr">
        <is>
          <t>Medical</t>
        </is>
      </c>
      <c r="D2" s="6" t="inlineStr">
        <is>
          <t>Class D</t>
        </is>
      </c>
      <c r="E2" s="3" t="inlineStr">
        <is>
          <t>HKD</t>
        </is>
      </c>
      <c r="F2" s="3" t="inlineStr">
        <is>
          <t>2026-05-26</t>
        </is>
      </c>
      <c r="G2" s="5" t="str">
        <f>HYPERLINK("https://www.chinalife.com.hk/zh-hk/about-us/news-center/china-life-overseas-and-new-frontier-health-hong-kong-forge-strategic","Open source")</f>
        <v>Open source</v>
      </c>
      <c r="H2" s="3" t="inlineStr">
        <is>
          <t>N/A - service/network enhancement for eligible personal medical insurance customers</t>
        </is>
      </c>
      <c r="I2" s="3" t="inlineStr">
        <is>
          <t>N/A</t>
        </is>
      </c>
      <c r="J2" s="3" t="inlineStr">
        <is>
          <t>N/A</t>
        </is>
      </c>
      <c r="K2" s="3" t="inlineStr">
        <is>
          <t>Strategic partnership extends China Life (Overseas)' medical direct-billing network from inpatient services into specialist oncology outpatient services, day treatment, drugs and imaging diagnosis via Hong Kong Integrated Oncology Centre and Icon Cancer Centre.</t>
        </is>
      </c>
      <c r="L2" s="3" t="inlineStr">
        <is>
          <t>Product-related service update</t>
        </is>
      </c>
      <c r="M2" s="3" t="inlineStr">
        <is>
          <t>Past 7 days</t>
        </is>
      </c>
      <c r="N2" s="3" t="inlineStr">
        <is>
          <t>Medical service/network enhancement for eligible personal medical insurance customers</t>
        </is>
      </c>
      <c r="O2" s="3" t="inlineStr">
        <is>
          <t>N/A</t>
        </is>
      </c>
      <c r="P2" s="3" t="inlineStr">
        <is>
          <t>N/A</t>
        </is>
      </c>
      <c r="Q2" s="3" t="inlineStr">
        <is>
          <t>N/A</t>
        </is>
      </c>
      <c r="R2" s="3" t="inlineStr">
        <is>
          <t>Oncology specialist outpatient, day treatment, drugs, imaging diagnosis and one-stop direct settlement support after pre-approval.</t>
        </is>
      </c>
      <c r="S2" s="3" t="inlineStr">
        <is>
          <t>N/A</t>
        </is>
      </c>
      <c r="T2" s="3" t="inlineStr">
        <is>
          <t>Subject to underlying medical policy terms; not disclosed in release.</t>
        </is>
      </c>
      <c r="U2" s="3" t="inlineStr">
        <is>
          <t>Cancer treatment pathway support through oncology centres and direct billing.</t>
        </is>
      </c>
    </row>
    <row r="3" ht="60" customHeight="1">
      <c r="A3" s="2" t="inlineStr">
        <is>
          <t>FWD Life Insurance Company (Bermuda) Limited (富衛人壽保險)</t>
        </is>
      </c>
      <c r="B3" s="2" t="inlineStr">
        <is>
          <t>vPrime Medical Plan (VHIS Flexi Plan)</t>
        </is>
      </c>
      <c r="C3" s="2" t="inlineStr">
        <is>
          <t>VHIS</t>
        </is>
      </c>
      <c r="D3" s="6" t="inlineStr">
        <is>
          <t>Class D</t>
        </is>
      </c>
      <c r="E3" s="2" t="inlineStr">
        <is>
          <t>HKD</t>
        </is>
      </c>
      <c r="F3" s="2" t="inlineStr">
        <is>
          <t>N/A - active official online promotion as of 2026-05-31; offer ends 2026-06-10</t>
        </is>
      </c>
      <c r="G3" s="5" t="str">
        <f>HYPERLINK("https://www.fwd.com.hk/online-insurance/vhis-vprime-medical-plan/en/","Open source")</f>
        <v>Open source</v>
      </c>
      <c r="H3" s="2" t="inlineStr">
        <is>
          <t>Regular pay; online monthly/annual quote options shown</t>
        </is>
      </c>
      <c r="I3" s="2" t="inlineStr">
        <is>
          <t>Illustrative first-year monthly premium from HK$119-HK$917 for ANB31 depending on deductible, after promotion assumptions</t>
        </is>
      </c>
      <c r="J3" s="2" t="inlineStr">
        <is>
          <t>N/A in public page excerpt</t>
        </is>
      </c>
      <c r="K3" s="2" t="inlineStr">
        <is>
          <t>VHIS Flexi medical plan with annual benefit limit up to HK$12.5 million, no lifetime benefit limit, six deductible options, deductible waiver for designated crises, cash benefits and no-claims premium discount.</t>
        </is>
      </c>
      <c r="L3" s="2" t="inlineStr">
        <is>
          <t>Current promotion / product page update</t>
        </is>
      </c>
      <c r="M3" s="2" t="inlineStr">
        <is>
          <t>Current offer</t>
        </is>
      </c>
      <c r="N3" s="2" t="inlineStr">
        <is>
          <t>VHIS Flexi</t>
        </is>
      </c>
      <c r="O3" s="2" t="inlineStr">
        <is>
          <t>N/A in page excerpt</t>
        </is>
      </c>
      <c r="P3" s="2" t="inlineStr">
        <is>
          <t>Up to HK$12.5 million per policy year</t>
        </is>
      </c>
      <c r="Q3" s="2" t="inlineStr">
        <is>
          <t>No lifetime benefit limit</t>
        </is>
      </c>
      <c r="R3" s="2" t="inlineStr">
        <is>
          <t>Hospitalisation and surgical expenses, eligible medical expenses, cash benefits, day case procedures, ICU, major/complex surgeries.</t>
        </is>
      </c>
      <c r="S3" s="2" t="inlineStr">
        <is>
          <t>Deductible options HK$0 / 16,000 / 25,000 / 50,000 / 100,000 / 250,000</t>
        </is>
      </c>
      <c r="T3" s="2" t="inlineStr">
        <is>
          <t>Public page states unknown pre-existing conditions, including congenital conditions, are covered subject to terms.</t>
        </is>
      </c>
      <c r="U3" s="2" t="inlineStr">
        <is>
          <t>Deductible waiver for designated crises, example includes stage 3 breast cancer.</t>
        </is>
      </c>
    </row>
    <row r="4" ht="60" customHeight="1">
      <c r="A4" s="3" t="inlineStr">
        <is>
          <t>FWD Life Insurance Company (Bermuda) Limited (富衛人壽保險)</t>
        </is>
      </c>
      <c r="B4" s="3" t="inlineStr">
        <is>
          <t>One&amp;All Medical Insurance Plan</t>
        </is>
      </c>
      <c r="C4" s="3" t="inlineStr">
        <is>
          <t>Medical</t>
        </is>
      </c>
      <c r="D4" s="6" t="inlineStr">
        <is>
          <t>Class D</t>
        </is>
      </c>
      <c r="E4" s="3" t="inlineStr">
        <is>
          <t>HKD</t>
        </is>
      </c>
      <c r="F4" s="3" t="inlineStr">
        <is>
          <t>2025-08-17; current online promotion as of 2026-05-31 ends 2026-06-10</t>
        </is>
      </c>
      <c r="G4" s="5" t="str">
        <f>HYPERLINK("https://www.fwd.com.hk/online-insurance/online-promotions/en/","Open source")</f>
        <v>Open source</v>
      </c>
      <c r="H4" s="3" t="inlineStr">
        <is>
          <t>Regular pay</t>
        </is>
      </c>
      <c r="I4" s="3" t="inlineStr">
        <is>
          <t>Daily premium less than HK$3; current promotion shows total 12-month premium waiver in first 2 years</t>
        </is>
      </c>
      <c r="J4" s="3" t="inlineStr">
        <is>
          <t>N/A in public page excerpt</t>
        </is>
      </c>
      <c r="K4" s="3" t="inlineStr">
        <is>
          <t>Mass-market medical cover positioned around flexible public/private hospital-type segmentation and affordable entry protection; active online promotion offers premium waiver benefits.</t>
        </is>
      </c>
      <c r="L4" s="3" t="inlineStr">
        <is>
          <t>Current promotion</t>
        </is>
      </c>
      <c r="M4" s="3" t="inlineStr">
        <is>
          <t>Current offer</t>
        </is>
      </c>
      <c r="N4" s="3" t="inlineStr">
        <is>
          <t>Medical insurance</t>
        </is>
      </c>
      <c r="O4" s="3" t="inlineStr">
        <is>
          <t>Segmented by hospital type / benefit level</t>
        </is>
      </c>
      <c r="P4" s="3" t="inlineStr">
        <is>
          <t>N/A in current promotion page</t>
        </is>
      </c>
      <c r="Q4" s="3" t="inlineStr">
        <is>
          <t>N/A in current promotion page</t>
        </is>
      </c>
      <c r="R4" s="3" t="inlineStr">
        <is>
          <t>Self-financed public hospital items, drugs, imaging tests and selected private medical support as described by FWD launch materials.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 in current promotion page</t>
        </is>
      </c>
    </row>
    <row r="5" ht="60" customHeight="1">
      <c r="A5" s="2" t="inlineStr">
        <is>
          <t>AIA International Limited (友邦保險)</t>
        </is>
      </c>
      <c r="B5" s="2" t="inlineStr">
        <is>
          <t>AIA Voluntary Health Insurance SelectWise Scheme</t>
        </is>
      </c>
      <c r="C5" s="2" t="inlineStr">
        <is>
          <t>VHIS</t>
        </is>
      </c>
      <c r="D5" s="6" t="inlineStr">
        <is>
          <t>Class D</t>
        </is>
      </c>
      <c r="E5" s="2" t="inlineStr">
        <is>
          <t>HKD</t>
        </is>
      </c>
      <c r="F5" s="2" t="inlineStr">
        <is>
          <t>2026-02-03</t>
        </is>
      </c>
      <c r="G5" s="5" t="str">
        <f>HYPERLINK("https://www.aia.com.hk/en/about-aia/about-us/media-centre/press-releases/2026/aia-press-release-20260203","Open source")</f>
        <v>Open source</v>
      </c>
      <c r="H5" s="2" t="inlineStr">
        <is>
          <t>Regular pay</t>
        </is>
      </c>
      <c r="I5" s="2" t="inlineStr">
        <is>
          <t>N/A in release</t>
        </is>
      </c>
      <c r="J5" s="2" t="inlineStr">
        <is>
          <t>N/A in release</t>
        </is>
      </c>
      <c r="K5" s="2" t="inlineStr">
        <is>
          <t>VHIS certified plan with no itemised benefit sublimits, designated hospital network, upgraded room options subject to pre-authorization and network doctor conditions, annual limit up to HK$12 million and lifetime limit up to HK$60 million.</t>
        </is>
      </c>
      <c r="L5" s="2" t="inlineStr">
        <is>
          <t>Latest 2026 launch found</t>
        </is>
      </c>
      <c r="M5" s="2" t="inlineStr">
        <is>
          <t>Older launch</t>
        </is>
      </c>
      <c r="N5" s="2" t="inlineStr">
        <is>
          <t>VHIS Flexi certified plan</t>
        </is>
      </c>
      <c r="O5" s="2" t="inlineStr">
        <is>
          <t>Basic ward across Asia; semi-private at eligible designated hospitals in Hong Kong/Macau; Mainland designated hospital room options.</t>
        </is>
      </c>
      <c r="P5" s="2" t="inlineStr">
        <is>
          <t>Up to HK$12 million</t>
        </is>
      </c>
      <c r="Q5" s="2" t="inlineStr">
        <is>
          <t>Up to HK$60 million</t>
        </is>
      </c>
      <c r="R5" s="2" t="inlineStr">
        <is>
          <t>Hospitalisation, surgical, pre/post confinement, day case outpatient, Chinese medicine outpatient, day surgery cash benefits and Care Concierge services.</t>
        </is>
      </c>
      <c r="S5" s="2" t="inlineStr">
        <is>
          <t>Annual deductible options; elderly designated-cancer deductible waiver disclosed</t>
        </is>
      </c>
      <c r="T5" s="2" t="inlineStr">
        <is>
          <t>Subject to VHIS policy terms; release highlights certified VHIS status</t>
        </is>
      </c>
      <c r="U5" s="2" t="inlineStr">
        <is>
          <t>Deductible waiver for designated cancer if insured age 75+ and conditions met; designated cancer includes malignant cancer and carcinoma-in-situ with exclusions.</t>
        </is>
      </c>
    </row>
  </sheetData>
  <autoFilter ref="A1:U5"/>
  <dataValidations count="2">
    <dataValidation type="list" allowBlank="1" showErrorMessage="1" sqref="C2:C5">
      <formula1>"VHIS,Medical"</formula1>
    </dataValidation>
    <dataValidation type="list" allowBlank="1" showErrorMessage="1" sqref="D2:D5">
      <formula1>"Class A,Class C,Class 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baseColWidth="10" defaultRowHeight="15"/>
  <cols>
    <col min="1" max="1" width="48" customWidth="1"/>
    <col min="2" max="2" width="27" customWidth="1"/>
    <col min="3" max="3" width="15" customWidth="1"/>
    <col min="4" max="4" width="10" customWidth="1"/>
    <col min="5" max="5" width="10" customWidth="1"/>
    <col min="6" max="6" width="48" customWidth="1"/>
    <col min="7" max="7" width="10" customWidth="1"/>
    <col min="8" max="8" width="48" customWidth="1"/>
    <col min="9" max="9" width="48" customWidth="1"/>
    <col min="10" max="10" width="32" customWidth="1"/>
    <col min="11" max="11" width="70" customWidth="1"/>
    <col min="12" max="12" width="36" customWidth="1"/>
    <col min="13" max="13" width="12" customWidth="1"/>
    <col min="14" max="14" width="48" customWidth="1"/>
    <col min="15" max="15" width="48" customWidth="1"/>
    <col min="16" max="16" width="48" customWidth="1"/>
    <col min="17" max="17" width="48" customWidth="1"/>
    <col min="18" max="18" width="17" customWidth="1"/>
    <col min="19" max="19" width="48" customWidth="1"/>
    <col min="20" max="20" width="30" customWidth="1"/>
  </cols>
  <sheetData>
    <row r="1" ht="24" customHeight="1">
      <c r="A1" s="1" t="inlineStr">
        <is>
          <t>Insurer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IA Class</t>
        </is>
      </c>
      <c r="E1" s="1" t="inlineStr">
        <is>
          <t>Currency</t>
        </is>
      </c>
      <c r="F1" s="1" t="inlineStr">
        <is>
          <t>Issue Date / Announcement Date</t>
        </is>
      </c>
      <c r="G1" s="1" t="inlineStr">
        <is>
          <t>Source URL</t>
        </is>
      </c>
      <c r="H1" s="1" t="inlineStr">
        <is>
          <t>Premium Payment Terms</t>
        </is>
      </c>
      <c r="I1" s="1" t="inlineStr">
        <is>
          <t>Premium Range</t>
        </is>
      </c>
      <c r="J1" s="1" t="inlineStr">
        <is>
          <t>Issue Age</t>
        </is>
      </c>
      <c r="K1" s="1" t="inlineStr">
        <is>
          <t>Key Benefit Summary</t>
        </is>
      </c>
      <c r="L1" s="1" t="inlineStr">
        <is>
          <t>Update Type</t>
        </is>
      </c>
      <c r="M1" s="1" t="inlineStr">
        <is>
          <t>Recency Flag</t>
        </is>
      </c>
      <c r="N1" s="1" t="inlineStr">
        <is>
          <t>Number of Covered Conditions</t>
        </is>
      </c>
      <c r="O1" s="1" t="inlineStr">
        <is>
          <t>Severity Structure</t>
        </is>
      </c>
      <c r="P1" s="1" t="inlineStr">
        <is>
          <t>Multi-pay Structure</t>
        </is>
      </c>
      <c r="Q1" s="1" t="inlineStr">
        <is>
          <t>Sum Assured Range</t>
        </is>
      </c>
      <c r="R1" s="1" t="inlineStr">
        <is>
          <t>Premium Waiver</t>
        </is>
      </c>
      <c r="S1" s="1" t="inlineStr">
        <is>
          <t>Cancer Definition</t>
        </is>
      </c>
      <c r="T1" s="1" t="inlineStr">
        <is>
          <t>Mental Health / Diabetes Coverage</t>
        </is>
      </c>
    </row>
    <row r="2" ht="60" customHeight="1">
      <c r="A2" s="3" t="inlineStr">
        <is>
          <t>FWD Life Insurance Company (Bermuda) Limited (富衛人壽保險)</t>
        </is>
      </c>
      <c r="B2" s="3" t="inlineStr">
        <is>
          <t>MyCover Critical Illness Plan</t>
        </is>
      </c>
      <c r="C2" s="3" t="inlineStr">
        <is>
          <t>Critical Illness</t>
        </is>
      </c>
      <c r="D2" s="6" t="inlineStr">
        <is>
          <t>Class D</t>
        </is>
      </c>
      <c r="E2" s="3" t="inlineStr">
        <is>
          <t>HKD</t>
        </is>
      </c>
      <c r="F2" s="3" t="inlineStr">
        <is>
          <t>N/A - active official online promotion as of 2026-05-31; offer ends 2026-06-10</t>
        </is>
      </c>
      <c r="G2" s="5" t="str">
        <f>HYPERLINK("https://www.fwd.com.hk/online-insurance/term-critical-illness/en/","Open source")</f>
        <v>Open source</v>
      </c>
      <c r="H2" s="3" t="inlineStr">
        <is>
          <t>Yearly renewable / 10-year renewable; premium payment to policy anniversary immediately preceding age 85</t>
        </is>
      </c>
      <c r="I2" s="3" t="inlineStr">
        <is>
          <t>Monthly premium shown as low as HK$14.31; sum insured HK$300,000-HK$2,500,000 depending on age</t>
        </is>
      </c>
      <c r="J2" s="3" t="inlineStr">
        <is>
          <t>Age next birthday 1 (15 days) to 70</t>
        </is>
      </c>
      <c r="K2" s="3" t="inlineStr">
        <is>
          <t>Online term CI plan covering the big three diseases, carcinoma-in-situ and early malignancies; optional Crisis Benefit adds 59 additional critical illnesses, and MyCover 2-in-1 adds post-claim medical reimbursement for the big three diseases.</t>
        </is>
      </c>
      <c r="L2" s="3" t="inlineStr">
        <is>
          <t>Current promotion / product page update</t>
        </is>
      </c>
      <c r="M2" s="3" t="inlineStr">
        <is>
          <t>Current offer</t>
        </is>
      </c>
      <c r="N2" s="3" t="inlineStr">
        <is>
          <t>Big 3 diseases; carcinoma-in-situ / early-stage malignancies; optional additional 59 critical illnesses</t>
        </is>
      </c>
      <c r="O2" s="3" t="inlineStr">
        <is>
          <t>Multi-tier: early carcinoma-in-situ / early malignancy plus major CI lump sum</t>
        </is>
      </c>
      <c r="P2" s="3" t="inlineStr">
        <is>
          <t>Single major CI structure; MyCover 2-in-1 adds two-year medical reimbursement after big-three claim</t>
        </is>
      </c>
      <c r="Q2" s="3" t="inlineStr">
        <is>
          <t>HK$300,000-HK$2,500,000 for ANB 1-60; HK$300,000-HK$1,500,000 for ANB 61-70</t>
        </is>
      </c>
      <c r="R2" s="3" t="inlineStr">
        <is>
          <t>N/A in public page</t>
        </is>
      </c>
      <c r="S2" s="3" t="inlineStr">
        <is>
          <t>Covers carcinoma-in-situ of specified organs and early-stage malignancy of prostate, thyroid and non-melanoma skin cancer; pays 35% of initial sum insured up to HK$400,000.</t>
        </is>
      </c>
      <c r="T2" s="3" t="inlineStr">
        <is>
          <t>N/A in public page</t>
        </is>
      </c>
    </row>
  </sheetData>
  <autoFilter ref="A1:T2"/>
  <dataValidations count="2">
    <dataValidation type="list" allowBlank="1" showErrorMessage="1" sqref="C2:C2">
      <formula1>"Critical Illness"</formula1>
    </dataValidation>
    <dataValidation type="list" allowBlank="1" showErrorMessage="1" sqref="D2:D2">
      <formula1>"Class A,Class C,Class 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baseColWidth="10" defaultRowHeight="15"/>
  <cols>
    <col min="1" max="1" width="16" customWidth="1"/>
    <col min="2" max="2" width="48" customWidth="1"/>
    <col min="3" max="3" width="18" customWidth="1"/>
    <col min="4" max="4" width="12" customWidth="1"/>
    <col min="5" max="5" width="48" customWidth="1"/>
  </cols>
  <sheetData>
    <row r="1" ht="24" customHeight="1">
      <c r="A1" s="1" t="inlineStr">
        <is>
          <t>Source Type</t>
        </is>
      </c>
      <c r="B1" s="1" t="inlineStr">
        <is>
          <t>Query / URL</t>
        </is>
      </c>
      <c r="C1" s="1" t="inlineStr">
        <is>
          <t>Date-Time Accessed</t>
        </is>
      </c>
      <c r="D1" s="1" t="inlineStr">
        <is>
          <t>Content Found</t>
        </is>
      </c>
      <c r="E1" s="1" t="inlineStr">
        <is>
          <t>Notes</t>
        </is>
      </c>
    </row>
    <row r="2" ht="30" customHeight="1">
      <c r="A2" s="3" t="inlineStr">
        <is>
          <t>Search query</t>
        </is>
      </c>
      <c r="B2" s="3" t="inlineStr">
        <is>
          <t>Hong Kong life insurance new product launch 2026</t>
        </is>
      </c>
      <c r="C2" s="3" t="inlineStr">
        <is>
          <t>2026-05-31 08:00 HKT</t>
        </is>
      </c>
      <c r="D2" s="3" t="inlineStr">
        <is>
          <t>Yes</t>
        </is>
      </c>
      <c r="E2" s="3" t="inlineStr">
        <is>
          <t>Specified English query; found AIA ProsperLife and other market results.</t>
        </is>
      </c>
    </row>
    <row r="3" ht="60" customHeight="1">
      <c r="A3" s="2" t="inlineStr">
        <is>
          <t>Search query</t>
        </is>
      </c>
      <c r="B3" s="2" t="inlineStr">
        <is>
          <t>AIA Manulife Prudential FWD Sun Life HSBC BOC Life new product Hong Kong 2026</t>
        </is>
      </c>
      <c r="C3" s="2" t="inlineStr">
        <is>
          <t>2026-05-31 08:00 HKT</t>
        </is>
      </c>
      <c r="D3" s="2" t="inlineStr">
        <is>
          <t>Yes</t>
        </is>
      </c>
      <c r="E3" s="2" t="inlineStr">
        <is>
          <t>Specified English query; found current/older launches and official pages.</t>
        </is>
      </c>
    </row>
    <row r="4" ht="30" customHeight="1">
      <c r="A4" s="3" t="inlineStr">
        <is>
          <t>Search query</t>
        </is>
      </c>
      <c r="B4" s="3" t="inlineStr">
        <is>
          <t>QDAP Hong Kong new 2026</t>
        </is>
      </c>
      <c r="C4" s="3" t="inlineStr">
        <is>
          <t>2026-05-31 08:00 HKT</t>
        </is>
      </c>
      <c r="D4" s="3" t="inlineStr">
        <is>
          <t>Limited</t>
        </is>
      </c>
      <c r="E4" s="3" t="inlineStr">
        <is>
          <t>Specified English query; IA QDAP list found, no new top-10 QDAP launch in past 7 days.</t>
        </is>
      </c>
    </row>
    <row r="5" ht="30" customHeight="1">
      <c r="A5" s="2" t="inlineStr">
        <is>
          <t>Search query</t>
        </is>
      </c>
      <c r="B5" s="2" t="inlineStr">
        <is>
          <t>VHIS new plan Hong Kong 2026</t>
        </is>
      </c>
      <c r="C5" s="2" t="inlineStr">
        <is>
          <t>2026-05-31 08:00 HKT</t>
        </is>
      </c>
      <c r="D5" s="2" t="inlineStr">
        <is>
          <t>Yes</t>
        </is>
      </c>
      <c r="E5" s="2" t="inlineStr">
        <is>
          <t>Specified English query; VHIS official list and AIA/FWD VHIS product pages found.</t>
        </is>
      </c>
    </row>
    <row r="6" ht="30" customHeight="1">
      <c r="A6" s="3" t="inlineStr">
        <is>
          <t>Search query</t>
        </is>
      </c>
      <c r="B6" s="3" t="inlineStr">
        <is>
          <t>critical illness insurance Hong Kong new launch 2026</t>
        </is>
      </c>
      <c r="C6" s="3" t="inlineStr">
        <is>
          <t>2026-05-31 08:00 HKT</t>
        </is>
      </c>
      <c r="D6" s="3" t="inlineStr">
        <is>
          <t>Yes</t>
        </is>
      </c>
      <c r="E6" s="3" t="inlineStr">
        <is>
          <t>Specified English query; found FWD MyCover and non-target insurer CI launches.</t>
        </is>
      </c>
    </row>
    <row r="7" ht="30" customHeight="1">
      <c r="A7" s="2" t="inlineStr">
        <is>
          <t>Search query</t>
        </is>
      </c>
      <c r="B7" s="2" t="inlineStr">
        <is>
          <t>savings insurance Hong Kong new 2026</t>
        </is>
      </c>
      <c r="C7" s="2" t="inlineStr">
        <is>
          <t>2026-05-31 08:00 HKT</t>
        </is>
      </c>
      <c r="D7" s="2" t="inlineStr">
        <is>
          <t>Yes</t>
        </is>
      </c>
      <c r="E7" s="2" t="inlineStr">
        <is>
          <t>Specified English query; found AIA, Zurich and other savings products.</t>
        </is>
      </c>
    </row>
    <row r="8" ht="60" customHeight="1">
      <c r="A8" s="3" t="inlineStr">
        <is>
          <t>Search query</t>
        </is>
      </c>
      <c r="B8" s="3" t="inlineStr">
        <is>
          <t>site:aia.com.hk OR site:manulife.com.hk OR site:prudential.com.hk new product 2026</t>
        </is>
      </c>
      <c r="C8" s="3" t="inlineStr">
        <is>
          <t>2026-05-31 08:00 HKT</t>
        </is>
      </c>
      <c r="D8" s="3" t="inlineStr">
        <is>
          <t>Yes</t>
        </is>
      </c>
      <c r="E8" s="3" t="inlineStr">
        <is>
          <t>Specified English query; official AIA/Manulife results found.</t>
        </is>
      </c>
    </row>
    <row r="9" ht="30" customHeight="1">
      <c r="A9" s="2" t="inlineStr">
        <is>
          <t>Search query</t>
        </is>
      </c>
      <c r="B9" s="2" t="inlineStr">
        <is>
          <t>香港人壽保險 新產品 2026</t>
        </is>
      </c>
      <c r="C9" s="2" t="inlineStr">
        <is>
          <t>2026-05-31 08:00 HKT</t>
        </is>
      </c>
      <c r="D9" s="2" t="inlineStr">
        <is>
          <t>Yes</t>
        </is>
      </c>
      <c r="E9" s="2" t="inlineStr">
        <is>
          <t>Specified Traditional Chinese query.</t>
        </is>
      </c>
    </row>
    <row r="10" ht="30" customHeight="1">
      <c r="A10" s="3" t="inlineStr">
        <is>
          <t>Search query</t>
        </is>
      </c>
      <c r="B10" s="3" t="inlineStr">
        <is>
          <t>儲蓄保險 新推出 香港 2026</t>
        </is>
      </c>
      <c r="C10" s="3" t="inlineStr">
        <is>
          <t>2026-05-31 08:00 HKT</t>
        </is>
      </c>
      <c r="D10" s="3" t="inlineStr">
        <is>
          <t>Yes</t>
        </is>
      </c>
      <c r="E10" s="3" t="inlineStr">
        <is>
          <t>Specified Traditional Chinese query.</t>
        </is>
      </c>
    </row>
    <row r="11" ht="30" customHeight="1">
      <c r="A11" s="2" t="inlineStr">
        <is>
          <t>Search query</t>
        </is>
      </c>
      <c r="B11" s="2" t="inlineStr">
        <is>
          <t>危疾保險 新計劃 香港 2026</t>
        </is>
      </c>
      <c r="C11" s="2" t="inlineStr">
        <is>
          <t>2026-05-31 08:00 HKT</t>
        </is>
      </c>
      <c r="D11" s="2" t="inlineStr">
        <is>
          <t>Yes</t>
        </is>
      </c>
      <c r="E11" s="2" t="inlineStr">
        <is>
          <t>Specified Traditional Chinese query.</t>
        </is>
      </c>
    </row>
    <row r="12" ht="30" customHeight="1">
      <c r="A12" s="3" t="inlineStr">
        <is>
          <t>Search query</t>
        </is>
      </c>
      <c r="B12" s="3" t="inlineStr">
        <is>
          <t>QDAP 合資格延期年金 新計劃 2026</t>
        </is>
      </c>
      <c r="C12" s="3" t="inlineStr">
        <is>
          <t>2026-05-31 08:00 HKT</t>
        </is>
      </c>
      <c r="D12" s="3" t="inlineStr">
        <is>
          <t>Limited</t>
        </is>
      </c>
      <c r="E12" s="3" t="inlineStr">
        <is>
          <t>Specified Traditional Chinese query; no new top-10 QDAP launch found.</t>
        </is>
      </c>
    </row>
    <row r="13" ht="30" customHeight="1">
      <c r="A13" s="2" t="inlineStr">
        <is>
          <t>Search query</t>
        </is>
      </c>
      <c r="B13" s="2" t="inlineStr">
        <is>
          <t>VHIS 自願醫保 新計劃 2026</t>
        </is>
      </c>
      <c r="C13" s="2" t="inlineStr">
        <is>
          <t>2026-05-31 08:00 HKT</t>
        </is>
      </c>
      <c r="D13" s="2" t="inlineStr">
        <is>
          <t>Yes</t>
        </is>
      </c>
      <c r="E13" s="2" t="inlineStr">
        <is>
          <t>Specified Traditional Chinese query.</t>
        </is>
      </c>
    </row>
    <row r="14" ht="30" customHeight="1">
      <c r="A14" s="3" t="inlineStr">
        <is>
          <t>Search query</t>
        </is>
      </c>
      <c r="B14" s="3" t="inlineStr">
        <is>
          <t>友邦 宏利 保誠 富衛 永明 滙豐 新產品 2026</t>
        </is>
      </c>
      <c r="C14" s="3" t="inlineStr">
        <is>
          <t>2026-05-31 08:00 HKT</t>
        </is>
      </c>
      <c r="D14" s="3" t="inlineStr">
        <is>
          <t>Yes</t>
        </is>
      </c>
      <c r="E14" s="3" t="inlineStr">
        <is>
          <t>Specified Traditional Chinese query; found Manulife launch and other market notes.</t>
        </is>
      </c>
    </row>
    <row r="15" ht="60" customHeight="1">
      <c r="A15" s="2" t="inlineStr">
        <is>
          <t>Official source</t>
        </is>
      </c>
      <c r="B15" s="2" t="inlineStr">
        <is>
          <t>https://www.chinalife.com.hk/zh-hk/about-us/news-center/china-life-overseas-and-new-frontier-health-hong-kong-forge-strategic</t>
        </is>
      </c>
      <c r="C15" s="2" t="inlineStr">
        <is>
          <t>2026-05-31 08:00 HKT</t>
        </is>
      </c>
      <c r="D15" s="2" t="inlineStr">
        <is>
          <t>Yes</t>
        </is>
      </c>
      <c r="E15" s="2" t="inlineStr">
        <is>
          <t>Official China Life (Overseas) 2026-05-26 medical partnership update.</t>
        </is>
      </c>
    </row>
    <row r="16" ht="30" customHeight="1">
      <c r="A16" s="3" t="inlineStr">
        <is>
          <t>Official source</t>
        </is>
      </c>
      <c r="B16" s="3" t="inlineStr">
        <is>
          <t>https://www.fwd.com.hk/online-insurance/online-promotions/en/</t>
        </is>
      </c>
      <c r="C16" s="3" t="inlineStr">
        <is>
          <t>2026-05-31 08:00 HKT</t>
        </is>
      </c>
      <c r="D16" s="3" t="inlineStr">
        <is>
          <t>Yes</t>
        </is>
      </c>
      <c r="E16" s="3" t="inlineStr">
        <is>
          <t>Official FWD current online promotions page.</t>
        </is>
      </c>
    </row>
    <row r="17" ht="30" customHeight="1">
      <c r="A17" s="2" t="inlineStr">
        <is>
          <t>Official source</t>
        </is>
      </c>
      <c r="B17" s="2" t="inlineStr">
        <is>
          <t>https://www.fwd.com.hk/online-insurance/term-critical-illness/en/</t>
        </is>
      </c>
      <c r="C17" s="2" t="inlineStr">
        <is>
          <t>2026-05-31 08:00 HKT</t>
        </is>
      </c>
      <c r="D17" s="2" t="inlineStr">
        <is>
          <t>Yes</t>
        </is>
      </c>
      <c r="E17" s="2" t="inlineStr">
        <is>
          <t>Official FWD MyCover product page.</t>
        </is>
      </c>
    </row>
    <row r="18" ht="30" customHeight="1">
      <c r="A18" s="3" t="inlineStr">
        <is>
          <t>Official source</t>
        </is>
      </c>
      <c r="B18" s="3" t="inlineStr">
        <is>
          <t>https://www.fwd.com.hk/online-insurance/vhis-vprime-medical-plan/en/</t>
        </is>
      </c>
      <c r="C18" s="3" t="inlineStr">
        <is>
          <t>2026-05-31 08:00 HKT</t>
        </is>
      </c>
      <c r="D18" s="3" t="inlineStr">
        <is>
          <t>Yes</t>
        </is>
      </c>
      <c r="E18" s="3" t="inlineStr">
        <is>
          <t>Official FWD vPrime product page.</t>
        </is>
      </c>
    </row>
    <row r="19" ht="60" customHeight="1">
      <c r="A19" s="2" t="inlineStr">
        <is>
          <t>Official source</t>
        </is>
      </c>
      <c r="B19" s="2" t="inlineStr">
        <is>
          <t>https://www.aia.com.hk/en/about-aia/about-us/media-centre/press-releases/2026/aia-press-release-20260331</t>
        </is>
      </c>
      <c r="C19" s="2" t="inlineStr">
        <is>
          <t>2026-05-31 08:00 HKT</t>
        </is>
      </c>
      <c r="D19" s="2" t="inlineStr">
        <is>
          <t>Yes</t>
        </is>
      </c>
      <c r="E19" s="2" t="inlineStr">
        <is>
          <t>Official AIA ProsperLife launch release.</t>
        </is>
      </c>
    </row>
    <row r="20" ht="30" customHeight="1">
      <c r="A20" s="3" t="inlineStr">
        <is>
          <t>Official source</t>
        </is>
      </c>
      <c r="B20" s="3" t="inlineStr">
        <is>
          <t>https://www.zurich.com.hk/en/about-zurich/news-and-announcements/2026/2026-0310</t>
        </is>
      </c>
      <c r="C20" s="3" t="inlineStr">
        <is>
          <t>2026-05-31 08:00 HKT</t>
        </is>
      </c>
      <c r="D20" s="3" t="inlineStr">
        <is>
          <t>Yes</t>
        </is>
      </c>
      <c r="E20" s="3" t="inlineStr">
        <is>
          <t>Official Zurich Swiss Prime launch release.</t>
        </is>
      </c>
    </row>
    <row r="21" ht="60" customHeight="1">
      <c r="A21" s="2" t="inlineStr">
        <is>
          <t>Official source</t>
        </is>
      </c>
      <c r="B21" s="2" t="inlineStr">
        <is>
          <t>https://www.manulife.com.hk/en/individual/about/newsroom/manulife-launches-new-annuity-and-accident-protection-solutions.html</t>
        </is>
      </c>
      <c r="C21" s="2" t="inlineStr">
        <is>
          <t>2026-05-31 08:00 HKT</t>
        </is>
      </c>
      <c r="D21" s="2" t="inlineStr">
        <is>
          <t>Yes</t>
        </is>
      </c>
      <c r="E21" s="2" t="inlineStr">
        <is>
          <t>Official Manulife GoldenStart launch release.</t>
        </is>
      </c>
    </row>
    <row r="22" ht="60" customHeight="1">
      <c r="A22" s="3" t="inlineStr">
        <is>
          <t>Official source</t>
        </is>
      </c>
      <c r="B22" s="3" t="inlineStr">
        <is>
          <t>https://www.aia.com.hk/en/about-aia/about-us/media-centre/press-releases/2026/aia-press-release-20260203</t>
        </is>
      </c>
      <c r="C22" s="3" t="inlineStr">
        <is>
          <t>2026-05-31 08:00 HKT</t>
        </is>
      </c>
      <c r="D22" s="3" t="inlineStr">
        <is>
          <t>Yes</t>
        </is>
      </c>
      <c r="E22" s="3" t="inlineStr">
        <is>
          <t>Official AIA SelectWise VHIS launch release.</t>
        </is>
      </c>
    </row>
    <row r="23" ht="30" customHeight="1">
      <c r="A23" s="2" t="inlineStr">
        <is>
          <t>Regulatory source</t>
        </is>
      </c>
      <c r="B23" s="2" t="inlineStr">
        <is>
          <t>https://www.ia.org.hk/en/qualifying_deferred_annuity_policy/qdap_all.html</t>
        </is>
      </c>
      <c r="C23" s="2" t="inlineStr">
        <is>
          <t>2026-05-31 08:00 HKT</t>
        </is>
      </c>
      <c r="D23" s="2" t="inlineStr">
        <is>
          <t>Yes</t>
        </is>
      </c>
      <c r="E23" s="2" t="inlineStr">
        <is>
          <t>IA QDAP list and QDAP field definitions checked.</t>
        </is>
      </c>
    </row>
    <row r="24" ht="30" customHeight="1">
      <c r="A24" s="3" t="inlineStr">
        <is>
          <t>Regulatory source</t>
        </is>
      </c>
      <c r="B24" s="3" t="inlineStr">
        <is>
          <t>https://www.vhis.gov.hk/en/consumer_corner/faqs.html</t>
        </is>
      </c>
      <c r="C24" s="3" t="inlineStr">
        <is>
          <t>2026-05-31 08:00 HKT</t>
        </is>
      </c>
      <c r="D24" s="3" t="inlineStr">
        <is>
          <t>Yes</t>
        </is>
      </c>
      <c r="E24" s="3" t="inlineStr">
        <is>
          <t>VHIS market statistics checked.</t>
        </is>
      </c>
    </row>
    <row r="25" ht="60" customHeight="1">
      <c r="A25" s="2" t="inlineStr">
        <is>
          <t>Regulatory source</t>
        </is>
      </c>
      <c r="B25" s="2" t="inlineStr">
        <is>
          <t>https://www.ia.org.hk/en/legislative_framework/circulars/reg_matters/circulars_on_regulatory_matters_2026.html</t>
        </is>
      </c>
      <c r="C25" s="2" t="inlineStr">
        <is>
          <t>2026-05-31 08:00 HKT</t>
        </is>
      </c>
      <c r="D25" s="2" t="inlineStr">
        <is>
          <t>Yes</t>
        </is>
      </c>
      <c r="E25" s="2" t="inlineStr">
        <is>
          <t>IA circulars checked; no product-standard circular in past 7 days.</t>
        </is>
      </c>
    </row>
    <row r="26" ht="30" customHeight="1">
      <c r="A26" s="3" t="inlineStr">
        <is>
          <t>Regulatory source</t>
        </is>
      </c>
      <c r="B26" s="3" t="inlineStr">
        <is>
          <t>https://www.mpfa.org.hk/en/info-centre/laws-and-regulations/guidelines</t>
        </is>
      </c>
      <c r="C26" s="3" t="inlineStr">
        <is>
          <t>2026-05-31 08:00 HKT</t>
        </is>
      </c>
      <c r="D26" s="3" t="inlineStr">
        <is>
          <t>Yes</t>
        </is>
      </c>
      <c r="E26" s="3" t="inlineStr">
        <is>
          <t>MPFA guideline updates checked; not directly life product related.</t>
        </is>
      </c>
    </row>
    <row r="27" ht="60" customHeight="1">
      <c r="A27" s="2" t="inlineStr">
        <is>
          <t>Financial news</t>
        </is>
      </c>
      <c r="B27" s="2" t="inlineStr">
        <is>
          <t>https://www.caproasia.com/2026/05/25/hong-kong-chow-tai-fook-life-insurance-ctf-life-launches-bnp-paribas-linked-index-universal-life-product-for-professional-investors-shiny-treasure-indexed-universal-life-insurance-plan-featuring/</t>
        </is>
      </c>
      <c r="C27" s="2" t="inlineStr">
        <is>
          <t>2026-05-31 08:00 HKT</t>
        </is>
      </c>
      <c r="D27" s="2" t="inlineStr">
        <is>
          <t>Yes</t>
        </is>
      </c>
      <c r="E27" s="2" t="inlineStr">
        <is>
          <t>Non-target insurer market signal; not included in top-10 tracker rows.</t>
        </is>
      </c>
    </row>
  </sheetData>
  <autoFilter ref="A1:E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Dashboard</vt:lpstr>
      <vt:lpstr>All Products</vt:lpstr>
      <vt:lpstr>Savings &amp; QDAP</vt:lpstr>
      <vt:lpstr>VHIS &amp; Medical</vt:lpstr>
      <vt:lpstr>Critical Illness</vt:lpstr>
      <vt:lpstr>Sources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2026-05-31T00:00:00Z</dcterms:created>
  <dcterms:modified xsi:type="dcterms:W3CDTF">2026-05-31T00:00:00Z</dcterms:modified>
  <dc:title>HK Insurance Daily Briefing 2026-05-31</dc:title>
</cp:coreProperties>
</file>